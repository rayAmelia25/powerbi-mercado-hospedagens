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16100" windowHeight="9660"/>
  </bookViews>
  <sheets>
    <sheet name="Hoteis_FATECSEBRAE" sheetId="1" r:id="rId1"/>
  </sheets>
  <definedNames>
    <definedName name="_xlnm._FilterDatabase" localSheetId="0" hidden="1">Hoteis_FATECSEBRAE!$A$1:$AI$138</definedName>
  </definedNames>
  <calcPr calcId="145621"/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B136" i="1"/>
  <c r="AB134" i="1"/>
  <c r="AB133" i="1"/>
  <c r="AB132" i="1"/>
  <c r="AB131" i="1"/>
  <c r="AB130" i="1"/>
  <c r="AB128" i="1"/>
  <c r="AB124" i="1"/>
  <c r="AB123" i="1"/>
  <c r="AB122" i="1"/>
  <c r="AB120" i="1"/>
  <c r="AB118" i="1"/>
  <c r="AB117" i="1"/>
  <c r="AB115" i="1"/>
  <c r="AB114" i="1"/>
  <c r="AB113" i="1"/>
  <c r="AB112" i="1"/>
  <c r="AB111" i="1"/>
  <c r="AB110" i="1"/>
  <c r="AB109" i="1"/>
  <c r="AB108" i="1"/>
  <c r="AB105" i="1"/>
  <c r="AB104" i="1"/>
  <c r="AB103" i="1"/>
  <c r="AB102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4" i="1"/>
  <c r="AB73" i="1"/>
  <c r="AB72" i="1"/>
  <c r="AB71" i="1"/>
  <c r="AB70" i="1"/>
  <c r="AB69" i="1"/>
  <c r="AB68" i="1"/>
  <c r="AB66" i="1"/>
  <c r="AB65" i="1"/>
  <c r="AB64" i="1"/>
  <c r="AB63" i="1"/>
  <c r="AB62" i="1"/>
  <c r="AB61" i="1"/>
  <c r="AB60" i="1"/>
  <c r="AB57" i="1"/>
  <c r="AB56" i="1"/>
  <c r="AB55" i="1"/>
  <c r="AB53" i="1"/>
  <c r="AB52" i="1"/>
  <c r="AB51" i="1"/>
  <c r="AB48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5" i="1"/>
  <c r="AB24" i="1"/>
  <c r="AB23" i="1"/>
  <c r="AB22" i="1"/>
  <c r="AB21" i="1"/>
  <c r="AB20" i="1"/>
  <c r="AB19" i="1"/>
  <c r="AB18" i="1"/>
  <c r="AB16" i="1"/>
  <c r="AB14" i="1"/>
  <c r="AB13" i="1"/>
  <c r="AB12" i="1"/>
  <c r="AB11" i="1"/>
  <c r="AB10" i="1"/>
  <c r="AB9" i="1"/>
  <c r="AB7" i="1"/>
  <c r="AB6" i="1"/>
  <c r="AB5" i="1"/>
  <c r="AB4" i="1"/>
  <c r="AB3" i="1"/>
  <c r="AB2" i="1"/>
  <c r="AB8" i="1"/>
  <c r="AB15" i="1"/>
  <c r="AB17" i="1"/>
  <c r="AB26" i="1"/>
  <c r="AB47" i="1"/>
  <c r="AB49" i="1"/>
  <c r="AB50" i="1"/>
  <c r="AB54" i="1"/>
  <c r="AB58" i="1"/>
  <c r="AB59" i="1"/>
  <c r="AB67" i="1"/>
  <c r="AB75" i="1"/>
  <c r="AB101" i="1"/>
  <c r="AB106" i="1"/>
  <c r="AB107" i="1"/>
  <c r="AB116" i="1"/>
  <c r="AB119" i="1"/>
  <c r="AB121" i="1"/>
  <c r="AB125" i="1"/>
  <c r="AB126" i="1"/>
  <c r="AB127" i="1"/>
  <c r="AB129" i="1"/>
  <c r="AB135" i="1"/>
  <c r="AB137" i="1"/>
  <c r="AA136" i="1"/>
  <c r="AA134" i="1"/>
  <c r="AA132" i="1"/>
  <c r="AA131" i="1"/>
  <c r="AA130" i="1"/>
  <c r="AA128" i="1"/>
  <c r="AA124" i="1"/>
  <c r="AA123" i="1"/>
  <c r="AA122" i="1"/>
  <c r="AA120" i="1"/>
  <c r="AA118" i="1"/>
  <c r="AA117" i="1"/>
  <c r="AA115" i="1"/>
  <c r="AA114" i="1"/>
  <c r="AA113" i="1"/>
  <c r="AA112" i="1"/>
  <c r="AA111" i="1"/>
  <c r="AA110" i="1"/>
  <c r="AA109" i="1"/>
  <c r="AA108" i="1"/>
  <c r="AA105" i="1"/>
  <c r="AA104" i="1"/>
  <c r="AA103" i="1"/>
  <c r="AA102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4" i="1"/>
  <c r="AA73" i="1"/>
  <c r="AA72" i="1"/>
  <c r="AA71" i="1"/>
  <c r="AA70" i="1"/>
  <c r="AA69" i="1"/>
  <c r="AA68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3" i="1"/>
  <c r="AA52" i="1"/>
  <c r="AA51" i="1"/>
  <c r="AA48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  <c r="AA47" i="1"/>
  <c r="AA49" i="1"/>
  <c r="AA50" i="1"/>
  <c r="AA54" i="1"/>
  <c r="AA67" i="1"/>
  <c r="AA75" i="1"/>
  <c r="AA101" i="1"/>
  <c r="AA106" i="1"/>
  <c r="AA107" i="1"/>
  <c r="AA116" i="1"/>
  <c r="AA119" i="1"/>
  <c r="AA121" i="1"/>
  <c r="AA125" i="1"/>
  <c r="AA126" i="1"/>
  <c r="AA127" i="1"/>
  <c r="AA129" i="1"/>
  <c r="AA133" i="1"/>
  <c r="AA135" i="1"/>
  <c r="AA137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Y135" i="1"/>
  <c r="Y132" i="1"/>
  <c r="Y118" i="1"/>
  <c r="Y117" i="1"/>
  <c r="Y116" i="1"/>
  <c r="Y115" i="1"/>
  <c r="Y114" i="1"/>
  <c r="Y113" i="1"/>
  <c r="Y112" i="1"/>
  <c r="Y110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6" i="1"/>
  <c r="Y14" i="1"/>
  <c r="Y13" i="1"/>
  <c r="Y12" i="1"/>
  <c r="Y11" i="1"/>
  <c r="Y9" i="1"/>
  <c r="Y8" i="1"/>
  <c r="Y7" i="1"/>
  <c r="Y6" i="1"/>
  <c r="Y4" i="1"/>
  <c r="Y3" i="1"/>
  <c r="Y2" i="1"/>
  <c r="Y5" i="1"/>
  <c r="Y10" i="1"/>
  <c r="Y15" i="1"/>
  <c r="Y17" i="1"/>
  <c r="Y56" i="1"/>
  <c r="Y57" i="1"/>
  <c r="Y58" i="1"/>
  <c r="Y59" i="1"/>
  <c r="Y60" i="1"/>
  <c r="Y109" i="1"/>
  <c r="Y111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3" i="1"/>
  <c r="Y134" i="1"/>
  <c r="Y136" i="1"/>
  <c r="Y137" i="1"/>
  <c r="X136" i="1"/>
  <c r="X135" i="1"/>
  <c r="X134" i="1"/>
  <c r="X133" i="1"/>
  <c r="X132" i="1"/>
  <c r="X131" i="1"/>
  <c r="X129" i="1"/>
  <c r="X128" i="1"/>
  <c r="X126" i="1"/>
  <c r="X125" i="1"/>
  <c r="X122" i="1"/>
  <c r="X120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8" i="1"/>
  <c r="X3" i="1"/>
  <c r="X2" i="1"/>
  <c r="X4" i="1"/>
  <c r="X5" i="1"/>
  <c r="X6" i="1"/>
  <c r="X7" i="1"/>
  <c r="X9" i="1"/>
  <c r="X119" i="1"/>
  <c r="X121" i="1"/>
  <c r="X123" i="1"/>
  <c r="X124" i="1"/>
  <c r="X127" i="1"/>
  <c r="X130" i="1"/>
  <c r="X137" i="1"/>
  <c r="W133" i="1"/>
  <c r="W129" i="1"/>
  <c r="W122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6" i="1"/>
  <c r="W14" i="1"/>
  <c r="W12" i="1"/>
  <c r="W9" i="1"/>
  <c r="W8" i="1"/>
  <c r="W2" i="1"/>
  <c r="W3" i="1"/>
  <c r="W4" i="1"/>
  <c r="W5" i="1"/>
  <c r="W6" i="1"/>
  <c r="W7" i="1"/>
  <c r="W10" i="1"/>
  <c r="W11" i="1"/>
  <c r="W13" i="1"/>
  <c r="W15" i="1"/>
  <c r="W17" i="1"/>
  <c r="W53" i="1"/>
  <c r="W119" i="1"/>
  <c r="W120" i="1"/>
  <c r="W121" i="1"/>
  <c r="W123" i="1"/>
  <c r="W124" i="1"/>
  <c r="W125" i="1"/>
  <c r="W126" i="1"/>
  <c r="W127" i="1"/>
  <c r="W128" i="1"/>
  <c r="W130" i="1"/>
  <c r="W131" i="1"/>
  <c r="W132" i="1"/>
  <c r="W134" i="1"/>
  <c r="W135" i="1"/>
  <c r="W136" i="1"/>
  <c r="W137" i="1"/>
  <c r="V137" i="1"/>
  <c r="V135" i="1"/>
  <c r="V134" i="1"/>
  <c r="V133" i="1"/>
  <c r="V130" i="1"/>
  <c r="V127" i="1"/>
  <c r="V126" i="1"/>
  <c r="V123" i="1"/>
  <c r="V122" i="1"/>
  <c r="V121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60" i="1"/>
  <c r="V59" i="1"/>
  <c r="V58" i="1"/>
  <c r="V57" i="1"/>
  <c r="V56" i="1"/>
  <c r="V46" i="1"/>
  <c r="V44" i="1"/>
  <c r="V40" i="1"/>
  <c r="V39" i="1"/>
  <c r="V38" i="1"/>
  <c r="V37" i="1"/>
  <c r="V35" i="1"/>
  <c r="V31" i="1"/>
  <c r="V30" i="1"/>
  <c r="V29" i="1"/>
  <c r="V28" i="1"/>
  <c r="V26" i="1"/>
  <c r="V25" i="1"/>
  <c r="V24" i="1"/>
  <c r="V23" i="1"/>
  <c r="V21" i="1"/>
  <c r="V20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2" i="1"/>
  <c r="V27" i="1"/>
  <c r="V32" i="1"/>
  <c r="V33" i="1"/>
  <c r="V34" i="1"/>
  <c r="V36" i="1"/>
  <c r="V41" i="1"/>
  <c r="V42" i="1"/>
  <c r="V43" i="1"/>
  <c r="V45" i="1"/>
  <c r="V47" i="1"/>
  <c r="V48" i="1"/>
  <c r="V49" i="1"/>
  <c r="V50" i="1"/>
  <c r="V51" i="1"/>
  <c r="V52" i="1"/>
  <c r="V53" i="1"/>
  <c r="V54" i="1"/>
  <c r="V55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120" i="1"/>
  <c r="V124" i="1"/>
  <c r="V125" i="1"/>
  <c r="V128" i="1"/>
  <c r="V129" i="1"/>
  <c r="V131" i="1"/>
  <c r="V132" i="1"/>
  <c r="V136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2" i="1"/>
  <c r="K13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2" i="1"/>
</calcChain>
</file>

<file path=xl/sharedStrings.xml><?xml version="1.0" encoding="utf-8"?>
<sst xmlns="http://schemas.openxmlformats.org/spreadsheetml/2006/main" count="2210" uniqueCount="1071">
  <si>
    <t>Nome do Hotel</t>
  </si>
  <si>
    <t>Endereço</t>
  </si>
  <si>
    <t>Bairro</t>
  </si>
  <si>
    <t>Distância da Faculdade (km)</t>
  </si>
  <si>
    <t>Tipo de Hospedagem</t>
  </si>
  <si>
    <t>Nº de Quartos/Unidades</t>
  </si>
  <si>
    <t>Preço Médio da Diária (R$)</t>
  </si>
  <si>
    <t>Horário de Atendimento</t>
  </si>
  <si>
    <t>Check-in</t>
  </si>
  <si>
    <t>Check-out</t>
  </si>
  <si>
    <t>Avaliação Média (0-5)</t>
  </si>
  <si>
    <t>Quantas estrelas</t>
  </si>
  <si>
    <t>Principais Comodidades</t>
  </si>
  <si>
    <t>Forma de Reserva</t>
  </si>
  <si>
    <t>Formas de Pagamento</t>
  </si>
  <si>
    <t>Tipo de Hóspede (Perfil)</t>
  </si>
  <si>
    <t>Observações</t>
  </si>
  <si>
    <t>Pertence_Rede (Sim/Não)</t>
  </si>
  <si>
    <t>Rede_Hoteleira (texto)</t>
  </si>
  <si>
    <t xml:space="preserve">Hotel Centro SP
</t>
  </si>
  <si>
    <t>Hotel Cisne</t>
  </si>
  <si>
    <t>Memorial Hotel</t>
  </si>
  <si>
    <t>Hotel Recanto das 
Perdizes</t>
  </si>
  <si>
    <t>Hotel Carrão</t>
  </si>
  <si>
    <t>Orione Hotel / Hotel Praça Orione</t>
  </si>
  <si>
    <t>Hotel Solar Paulista</t>
  </si>
  <si>
    <t>Hotel Tenda Brigadeiro</t>
  </si>
  <si>
    <t>Gloria Plaza Hotel</t>
  </si>
  <si>
    <t>Hotel Ourinhos</t>
  </si>
  <si>
    <t>Hotel Puma</t>
  </si>
  <si>
    <t>Pax Hotel</t>
  </si>
  <si>
    <t>Red Monkey Hostel</t>
  </si>
  <si>
    <t>Ibis Budget - São João</t>
  </si>
  <si>
    <t>Hotel Rio Branco</t>
  </si>
  <si>
    <t>Hotel Paramount</t>
  </si>
  <si>
    <t>Hotel Paulicéia</t>
  </si>
  <si>
    <t>Hotel New Point</t>
  </si>
  <si>
    <t>Hotel Michel I</t>
  </si>
  <si>
    <t>Hotel Concorde</t>
  </si>
  <si>
    <t>Monteneve Hotel</t>
  </si>
  <si>
    <t>Varandas da Paulista Hostel</t>
  </si>
  <si>
    <t>Hotel Florêncio</t>
  </si>
  <si>
    <t>Hotel São Jorge São Paulo</t>
  </si>
  <si>
    <t>Hotel Joamar</t>
  </si>
  <si>
    <t>Hotel Plaza Olido</t>
  </si>
  <si>
    <t>Hotel Moraes</t>
  </si>
  <si>
    <t>Paissandú Palace Hotel</t>
  </si>
  <si>
    <t>Hotel Paris</t>
  </si>
  <si>
    <t>Center Bela Vista</t>
  </si>
  <si>
    <t>Hotel Pallion Center</t>
  </si>
  <si>
    <t>Pousada Franceses</t>
  </si>
  <si>
    <t>Ibis budget SP Frei Caneca</t>
  </si>
  <si>
    <t>Imagina Hostel</t>
  </si>
  <si>
    <t>Hotel Urbis</t>
  </si>
  <si>
    <t>Hotel ibis budget São Paulo Paulista</t>
  </si>
  <si>
    <t>OYO Hotel Brás</t>
  </si>
  <si>
    <t>Hotel Vintage, São Paulo</t>
  </si>
  <si>
    <t>Hotel Biz</t>
  </si>
  <si>
    <t>Yes Hotel</t>
  </si>
  <si>
    <t xml:space="preserve">HOTEL PAULISTANO Parque Anhembi </t>
  </si>
  <si>
    <t>Hotel Paulistano</t>
  </si>
  <si>
    <t>Hotel Anacleto</t>
  </si>
  <si>
    <t>Hotel De la rose</t>
  </si>
  <si>
    <t>Transamerica Executive Perdizes</t>
  </si>
  <si>
    <t>Bê Hotel</t>
  </si>
  <si>
    <t>Transamerica Executive Higienópolis</t>
  </si>
  <si>
    <t>Hotel ibis São Paulo Barra Funda</t>
  </si>
  <si>
    <t>Dublin Hotel</t>
  </si>
  <si>
    <t>Hotel Vilamoura SP</t>
  </si>
  <si>
    <t>Hotel Pousada Pacaembu</t>
  </si>
  <si>
    <t>Flat The Park Hall service higienopolis</t>
  </si>
  <si>
    <t>Hotel Bella Augusta</t>
  </si>
  <si>
    <t>Dan Inn São Paulo Higienópolis</t>
  </si>
  <si>
    <t>Ipanema Inn São Paulo</t>
  </si>
  <si>
    <t>Hotel Monreale Lifestyle Higienópolis São Paulo</t>
  </si>
  <si>
    <t>155 Hotel São Paulo</t>
  </si>
  <si>
    <t>Hotel Calstar</t>
  </si>
  <si>
    <t>Hotel Laundos</t>
  </si>
  <si>
    <t>Fênix Hotel Bom Retiro</t>
  </si>
  <si>
    <t>Ramada Encore São Paulo Tiradentes</t>
  </si>
  <si>
    <t>Hotel Chaves</t>
  </si>
  <si>
    <t>Hotel Piratininga</t>
  </si>
  <si>
    <t>B&amp;B HOTEL São Paulo Luz - Centro</t>
  </si>
  <si>
    <t>Ibis Styles São Paulo Centro</t>
  </si>
  <si>
    <t>Hotel Tropicália</t>
  </si>
  <si>
    <t>Las Vegas Hotel</t>
  </si>
  <si>
    <t>Nacional Inn São Paulo</t>
  </si>
  <si>
    <t>Hotel Dan Inn Planalto São Paulo</t>
  </si>
  <si>
    <t>Daher Center Hotel</t>
  </si>
  <si>
    <t>Hotel Euro Suite São Paulo by Nacional Inn</t>
  </si>
  <si>
    <t>Hotel Internacional São Paulo</t>
  </si>
  <si>
    <t>Hotel lugus</t>
  </si>
  <si>
    <t>Windsor Hotel</t>
  </si>
  <si>
    <t>Real Castilha Hotel</t>
  </si>
  <si>
    <t>Hotel Plaza Apolo</t>
  </si>
  <si>
    <t>Nébias Palace Hotel</t>
  </si>
  <si>
    <t>Hotel Columbia</t>
  </si>
  <si>
    <t>Hotel Soneca Plaza</t>
  </si>
  <si>
    <t>King Hotel</t>
  </si>
  <si>
    <t>Hotel Caravelas</t>
  </si>
  <si>
    <t>DELPLAZA Timbiras São Paulo</t>
  </si>
  <si>
    <t>Cinelandia Hotel</t>
  </si>
  <si>
    <t>Lux Hotel</t>
  </si>
  <si>
    <t>Hotel América do Sul</t>
  </si>
  <si>
    <t>Grand Barão Hotel</t>
  </si>
  <si>
    <t>Reinales Plaza Hotel</t>
  </si>
  <si>
    <t>San Michel Hotel</t>
  </si>
  <si>
    <t>Hotel Rojas All Suite</t>
  </si>
  <si>
    <t>Hotel Metrópolis</t>
  </si>
  <si>
    <t>Esplanada Hotel</t>
  </si>
  <si>
    <t>San Francisco Plazza Hotel</t>
  </si>
  <si>
    <t>Hotel Grant's</t>
  </si>
  <si>
    <t>Braston Augusta</t>
  </si>
  <si>
    <t>Hotel Maraja</t>
  </si>
  <si>
    <t>Moncloa Hotel</t>
  </si>
  <si>
    <t>Hotel Pan Americano</t>
  </si>
  <si>
    <t>Bela Cintra Flat Service</t>
  </si>
  <si>
    <t>Hotel Heritage</t>
  </si>
  <si>
    <t>Carillon Plaza Hotel</t>
  </si>
  <si>
    <t>HOTEL CRUZ DE MALTA</t>
  </si>
  <si>
    <t>Total Hotel</t>
  </si>
  <si>
    <t>BARRA FUNDA HOSTEL</t>
  </si>
  <si>
    <t>HOTEL PERDIZES - Flat Executivo</t>
  </si>
  <si>
    <t>Hotel Slaviero Downtown São Paulo</t>
  </si>
  <si>
    <t xml:space="preserve">Capsula Hotel Sao Paulo - Paulista
</t>
  </si>
  <si>
    <t>Casa ecotrips Barra Funda - Hostel</t>
  </si>
  <si>
    <t>Hostel espaço Barra Funda</t>
  </si>
  <si>
    <t>Red Monkey Hostel Barra Funda</t>
  </si>
  <si>
    <t>Santa Ceciliers - Hostel</t>
  </si>
  <si>
    <t>Hostel Gomes</t>
  </si>
  <si>
    <t>Hotel Daniel Elohim</t>
  </si>
  <si>
    <t>Hotel San Gabriel</t>
  </si>
  <si>
    <t>Hotel Amália</t>
  </si>
  <si>
    <t>Hotel Rivoli</t>
  </si>
  <si>
    <t>Hotel Centro 433</t>
  </si>
  <si>
    <t>Hotel San Raphael</t>
  </si>
  <si>
    <t>Hotel Terra Nobre</t>
  </si>
  <si>
    <t>Hotel Luz Plaza São Paulo</t>
  </si>
  <si>
    <t>Hotel Normandie</t>
  </si>
  <si>
    <t>Hotel Itamarati</t>
  </si>
  <si>
    <t>SJ Business</t>
  </si>
  <si>
    <t>DELPLAZA Marabá São Paulo</t>
  </si>
  <si>
    <t>Mercure Barra Funda</t>
  </si>
  <si>
    <t>INNSiDE by Meliá São Paulo Higienópolis</t>
  </si>
  <si>
    <t>Hotel Gran Corona</t>
  </si>
  <si>
    <t>Sooz Hotel Collection</t>
  </si>
  <si>
    <t>Gran Villagio Hotel</t>
  </si>
  <si>
    <t>DELPLAZA Excelsior São Paulo - By Monreale</t>
  </si>
  <si>
    <t>Hotel Nacional Inn Jaraguá São Paulo</t>
  </si>
  <si>
    <t>Hotel Cadoro - Ca'd'Oro São Paulo</t>
  </si>
  <si>
    <t>Hotel Augusta Boulevard</t>
  </si>
  <si>
    <t>Roomo Transamerica SP Bela Cintra</t>
  </si>
  <si>
    <t>Hotel Turiassú</t>
  </si>
  <si>
    <t>Rio Hotel by Bourbon São Paulo</t>
  </si>
  <si>
    <t>Alameda Eduardo Prado, 500, São Paulo, Brasil</t>
  </si>
  <si>
    <t>R. Lopes de Oliveira, 511, São Paulo, Brasil</t>
  </si>
  <si>
    <t>R. Lavradio, 525, São Paulo, Brasil</t>
  </si>
  <si>
    <t>R. Traipu, 5, São Paulo, Brasil</t>
  </si>
  <si>
    <t>R. Conselheiro Carrão, 479, São Paulo, Brasil</t>
  </si>
  <si>
    <t>R. Treze de Maio, 731, São Paulo, Brasil</t>
  </si>
  <si>
    <t>R. Rui Barbosa, 377, São Paulo, Brasil</t>
  </si>
  <si>
    <t>Av. Brigadeiro Luís Antônio, 315, São Paulo, Brasil</t>
  </si>
  <si>
    <t>R. da Glória, 452, São Paulo, Brasil</t>
  </si>
  <si>
    <t>Pça. Princesa Isabel, 66, São Paulo, Brasil</t>
  </si>
  <si>
    <t>Alameda Barão de Limeira, 253, São Paulo, Brasil</t>
  </si>
  <si>
    <t>R. Parintins, 41, São Paulo, Brasil</t>
  </si>
  <si>
    <t>Av. São João, 1140, São Paulo, Brasil</t>
  </si>
  <si>
    <t>Av. Rio Branco, 234, São Paulo, Brasil</t>
  </si>
  <si>
    <t>R. dos Timbiras, 121, São Paulo, Brasil</t>
  </si>
  <si>
    <t>R. dos Timbiras, 216, São Paulo, Brasil</t>
  </si>
  <si>
    <t>R. Washington Luís, 351, São Paulo, Brasil</t>
  </si>
  <si>
    <t>R. Gen. Couto de Magalhães, 428, São Paulo, Brasil</t>
  </si>
  <si>
    <t xml:space="preserve">R. Florêncio de Abreu, 877, São Paulo, Brasil </t>
  </si>
  <si>
    <t>Av. Rio Branco, 52, São Paulo, Brasil</t>
  </si>
  <si>
    <t>R. Dom José de Barros, 187, São Paulo, Brasil</t>
  </si>
  <si>
    <t>Lg. do Paissandú, 128, São Paulo, Brasil</t>
  </si>
  <si>
    <t>R. do Seminário, 155, São Paulo, Brasil</t>
  </si>
  <si>
    <t xml:space="preserve">R. João Adolfo, 30, São Paulo, Brasil </t>
  </si>
  <si>
    <t>Campos Elíseos</t>
  </si>
  <si>
    <t>Barra Funda</t>
  </si>
  <si>
    <t>Pacaembu</t>
  </si>
  <si>
    <t>Bela Vista</t>
  </si>
  <si>
    <t>Liberdade</t>
  </si>
  <si>
    <t>Centro Histórico de São Paulo</t>
  </si>
  <si>
    <t>Santa Ifigênia</t>
  </si>
  <si>
    <t>Luz</t>
  </si>
  <si>
    <t>Jardim Paulista</t>
  </si>
  <si>
    <t>República</t>
  </si>
  <si>
    <t>Sé</t>
  </si>
  <si>
    <t>Consolação</t>
  </si>
  <si>
    <t>Brás</t>
  </si>
  <si>
    <t>Casa Verde</t>
  </si>
  <si>
    <t>Bom Retiro</t>
  </si>
  <si>
    <t>Santana</t>
  </si>
  <si>
    <t>Vila Buarque</t>
  </si>
  <si>
    <t>Perdizes</t>
  </si>
  <si>
    <t xml:space="preserve"> Higienópolis</t>
  </si>
  <si>
    <t>Santa Cecilia</t>
  </si>
  <si>
    <t>Ponte Pequena</t>
  </si>
  <si>
    <t>Higienópolis</t>
  </si>
  <si>
    <t xml:space="preserve"> Centro Histórico de São Paulo</t>
  </si>
  <si>
    <t xml:space="preserve"> Santa Ifigênia</t>
  </si>
  <si>
    <t>Santa Efigênia</t>
  </si>
  <si>
    <t xml:space="preserve"> - Centro Histórico de São Paulo</t>
  </si>
  <si>
    <t>Santa Cecília</t>
  </si>
  <si>
    <t>Centro (Largo do Arouche)</t>
  </si>
  <si>
    <t>República / Centro</t>
  </si>
  <si>
    <t>Centro Histórico</t>
  </si>
  <si>
    <t>Higienópolis / Consolação</t>
  </si>
  <si>
    <t>Augusta</t>
  </si>
  <si>
    <t>Consolação / Bela Vista</t>
  </si>
  <si>
    <t>Hotel</t>
  </si>
  <si>
    <t>Hostel</t>
  </si>
  <si>
    <t>Pousada</t>
  </si>
  <si>
    <t>HOTEL</t>
  </si>
  <si>
    <t>24h</t>
  </si>
  <si>
    <t>24H</t>
  </si>
  <si>
    <t>13h</t>
  </si>
  <si>
    <t>14h</t>
  </si>
  <si>
    <t>15h</t>
  </si>
  <si>
    <t>12h</t>
  </si>
  <si>
    <t>13h30</t>
  </si>
  <si>
    <t>14h as 18h</t>
  </si>
  <si>
    <t>10h</t>
  </si>
  <si>
    <t>14H</t>
  </si>
  <si>
    <t>11h</t>
  </si>
  <si>
    <t>12:30h</t>
  </si>
  <si>
    <t>12H</t>
  </si>
  <si>
    <t>23h</t>
  </si>
  <si>
    <t>18h</t>
  </si>
  <si>
    <t xml:space="preserve">Proibido Fumar, café da manhã, ar-condicionado, quartos para familias, serviço de quarto, </t>
  </si>
  <si>
    <t>Wi-fi gratuito, café da manhã incluido, ar condicionado e ideal para crianças</t>
  </si>
  <si>
    <t>Wi-Fi gratuito</t>
  </si>
  <si>
    <t>Wi-Fi gratuito, Proibido fumar, Ideal para crianças, Traslado do aeroporto</t>
  </si>
  <si>
    <t>Wi-Fi gratuito, Ar-condicionado, Proibido fumar</t>
  </si>
  <si>
    <t>Wi-Fi gratuito, Ar-condicionado, Proibido fumar, Elevador, Instalações adaptadas para pessoas com deficiência (PCDs), Ideal para crianças</t>
  </si>
  <si>
    <t>Wi-Fi gratuito, Área para fumantes, Ar-condicionado, Ideal para crianças, Bar</t>
  </si>
  <si>
    <t>Wifi, Ar condicionado, Ideal para crianças</t>
  </si>
  <si>
    <t xml:space="preserve">Wifi, Ar condicionado, </t>
  </si>
  <si>
    <t xml:space="preserve">Wifi, Lavanderia, Ar condicionado, </t>
  </si>
  <si>
    <t>Wifi, cozinha compartilhada, bar, área, externa, atividades (bar crawl, walking tours)</t>
  </si>
  <si>
    <t>Wifi, cozinha compartilhada</t>
  </si>
  <si>
    <t>Wifi, bar, jardim, áreas comuns</t>
  </si>
  <si>
    <t>Wifi, cozinha, lavanderia</t>
  </si>
  <si>
    <t>Wifi, Cozinha</t>
  </si>
  <si>
    <t>Wi-Fi de alta velocidade; ar condicionado; TV LED 40”; frigobar; canais a cabo; mesa de trabalho; cofre eletrônico em alguns quartos; tomada USB; minibar; secador de cabelo; produtos de toalete; lobby com lareira; café/cappuccino para hóspedes; ambiente pet‑friendly; quartos com acessibilidade; fechadura eletrônica.</t>
  </si>
  <si>
    <t>Wi-Fi, piscina externa, restaurante, estacionamento (sem manobrista) 
Animais de estimação permitidos (cães e gatos até 15 kg) com taxa 
Centro fitness, salas de reunião e eventos</t>
  </si>
  <si>
    <t>Restaurante de gastronomia italiana / internacional; sky‑bar no topo; piscina aquecida; amenidades de alto padrão nos quartos; localização privilegiada perto de vias centrais</t>
  </si>
  <si>
    <t>Agências: Booking.com e Agoda.com Telefone: (11) 3331-1437</t>
  </si>
  <si>
    <t xml:space="preserve">Agências: Booking.com, Agoda.com, Hoteis.com e Decolar.com Site oficial: hbook.hsystem.com.br Telefone: (11) 3826-0011 </t>
  </si>
  <si>
    <t>Agências: Booking.com e Agoda.com Telefone: (11) 3825-4093</t>
  </si>
  <si>
    <t>Site oficial: hotels.cloudbeds.com Telefone: (11) 3826-1132</t>
  </si>
  <si>
    <t>Site: https://gohotele.com/carrcccc 
Agências: Booking.com, Bluepillow, Agoda
Telefone:01123727428</t>
  </si>
  <si>
    <t>Site: Não tem
Agências: Booking.com, Hoteis.com, Trivago, Expedia
telefone: 01127693604</t>
  </si>
  <si>
    <t>Site: http://hotelsolarpaulista.com.br/
Agências: Booking.com, Hoteis.com, Expedia
Telefone: 01132853658</t>
  </si>
  <si>
    <t>Site: http://hoteltendabrigadeiro.com.br/
Agências: Booking.com, Hoteis.com, Trivago, Trip
Telefone: 01131058141</t>
  </si>
  <si>
    <t>Site: http://www.gloriaplazahotel.com.br/
Telefone: 01132096900
Agências: Trivago, Booking.com, Agoda</t>
  </si>
  <si>
    <t>Agências: Booking.com, Decolar.com e Hoteis.com Telefone: (11) 3331-2099</t>
  </si>
  <si>
    <t>Telefone: 01131049056
Agências: Booking.com, Skyscanner, Agoda, Bluepillow</t>
  </si>
  <si>
    <t>Agências: Booking.com e Agoda.com Telefone: (11) 3331-1783</t>
  </si>
  <si>
    <t>Site oficial, Agência e telefone</t>
  </si>
  <si>
    <t>Agência, telefone e online</t>
  </si>
  <si>
    <t>Site: https://book.bitzsoftwares.com.br/e72e0fb9-69d0-43ef-8043-99697c4b41ee
Agências Online: Booking.com, Hoteis.com, Expedia
Telefone: 01132219921</t>
  </si>
  <si>
    <t>Site: https://hotelparamount.com.br/
Agências Online: Booking.com, Hoteis.com, Expedia, Decolar
Telefone: 01133622772</t>
  </si>
  <si>
    <t>Telefone: 01133319733
Agencia: Hoteis.com</t>
  </si>
  <si>
    <t>Site: http://www.hotelnewpoint.com.br/
Agências: Booking.com, Agoda.com, Bluepillow
Telefone: 011977417466</t>
  </si>
  <si>
    <t>Site: http://www.hotelmichel.com.br/
Telefone: 01132223967
Agências: Booking.com, Hoteis.com, Expedia, Trivago</t>
  </si>
  <si>
    <t>Telefone: 01132873777
Agências: Booking.com, Bluepillow</t>
  </si>
  <si>
    <t>Site: https://www.hotelmonteneve.com.br/
Agências: Booking.com, Skyscanner, Agoda
Telefone: 01132218633</t>
  </si>
  <si>
    <t>Telefone: 011958994512
Agências: Booking.com</t>
  </si>
  <si>
    <t>Site: http://hotelflorencio.blogspot.com/
Telefone: 011911839038
Agências: Booking.com, Agoda, My Luxury Hotel, Bluepillow</t>
  </si>
  <si>
    <t>Site: https://hotelsaojorgesp.com.br/
Agências: Booking.com, Hoteis.com, Decolar, Bluepillow
Telefone: 01132240600</t>
  </si>
  <si>
    <t>Site: http://www.hoteljoamar.com.br/
Telefone: 01132257611
Agências: Booking.com, Agoda, Skyscanner, LateRooms</t>
  </si>
  <si>
    <t>Site: http://www.hotelplazaolido.com.br/
Agências: Booking.com, Hoteis.com, Skyscanner, Expedia
Telefone: 011994690091</t>
  </si>
  <si>
    <t>Site: http://www.hotelmoraessp.com.br/
Telefone: 01133332288
Agências: Booking.com, Agoda, Skyscanner</t>
  </si>
  <si>
    <t>Site: http://hotelpaissandu.com.br/
Telefone: 01133261240
Agências: Booking.com, Agoda, Bluepillow, LateRooms</t>
  </si>
  <si>
    <t>Site: https://gohotele.com/parisppp
Agencias: Booking.com, Agoda, Bluepillow, Skyscanner
Telefone: 01132597660</t>
  </si>
  <si>
    <t>Site: https://www.oyorooms.com/81850/
Telefone: 01131512521
Agências: Booking.com, Agoda, My Luxury Hotel</t>
  </si>
  <si>
    <t>Site: http://www.hotelpc.com.br/
Telefone: 01132429604
Agências: Decolar, Hoteis.com, Expedia, Trip</t>
  </si>
  <si>
    <t>Site: http://www.estacaosehotel.com.br/
Agências: Booking.com, Hoteis.com, Decolar, Skyscanner
Telefone: 01131077441</t>
  </si>
  <si>
    <t xml:space="preserve">Site: http://www.pousadadosfranceses.com.br/
Telefone: 01132881592
Agências: Booking.com, Hoteis.com, Expedia, My Luxury Hotel </t>
  </si>
  <si>
    <t>Site: https://all.accor.com/lien_externe.svlt?goto=fiche_hotel&amp;code_hotel=9610&amp;merchantid=seo-maps-BR-9610&amp;sourceid=aw-cen&amp;utm_medium=seo%20maps&amp;utm_source=google%20Maps&amp;utm_campaign=seo%20maps
Telefone: 01126787555
Agências: Booking.com, Hoteis.com, Trip, Trivago</t>
  </si>
  <si>
    <t>Site: http://imaginahostel.com.br/
Telefone: 01123059839
Agências: Booking.com, Vio, Bluepillow, Hostelworld</t>
  </si>
  <si>
    <t>Site: https://www.hotelurbis.com.br/
Agências: Booking.com, Agoda, Skyscanner, My Luxury Hotel 
Telefone: 01132282284
Email: hotelurbis40@gmail.com</t>
  </si>
  <si>
    <t>Site: https://all.accor.com/lien_externe.svlt?goto=fiche_hotel&amp;code_hotel=5323&amp;merchantid=seo-maps-BR-5323&amp;sourceid=aw-cen&amp;utm_medium=seo%20maps&amp;utm_source=google%20Maps&amp;utm_campaign=seo%20maps
Agências: Booking.com, Hoteis.com, Max
Telefone: 01131237755
Email: h5323-re@accor.com</t>
  </si>
  <si>
    <t>Site: https://www.oyorooms.com/MX/87182/?utm_source=GMB_MX&amp;utm_medium=Organic&amp;utm_campaign=BR_SPSPO008&amp;latitude=-23.54442&amp;longitude=-46.621768&amp;locale=pt
Agências: Decolar, Expedia, Skyscanner, Hoteis.com, Agoda, Wego
Telefone: 01146805228</t>
  </si>
  <si>
    <t>Site: https://www.oyorooms.com/60551/
Agências: Booking.com, Agoda, Skyscanner, Hoteis.com
Telefone: 01138581823</t>
  </si>
  <si>
    <t>Telefone: 01132288831
Agências: Booking.com, Skiscanner, Agoda, Bluepillow</t>
  </si>
  <si>
    <t>Telefone: 01133266398
Agências: Booking.com, Agoda, Bluepillow, My Luxury Hotel</t>
  </si>
  <si>
    <t>Site: https://hotels.cloudbeds.com/reservas/7QdqtX
Telefone: 01123672174
Agências: Expedia, Decolar, Hoteis.com, Booking.com</t>
  </si>
  <si>
    <t xml:space="preserve">Site: https://hotels.cloudbeds.com/reservas/A0q2fh
Telefone: 01129351817
Agências: Booking.com, Hoteis.com, Decolar, </t>
  </si>
  <si>
    <t>Site: https://hotelanacleto.com.br/
Telefone: 01133841107
Agências: Booking.com, Agoda, Expedia</t>
  </si>
  <si>
    <t>Telefone: 01132240286
Agências: Booking.com, Agoda,  Bluepillow, My Luxury Hotel, Late Rooms</t>
  </si>
  <si>
    <t>Site da Atlantica Hospitality International
Telefone: (11) 24755-6952
Agencias de viagem online (Booking.com, Hoteis.com, Decolar, Agoda, Kayak, Trivago)</t>
  </si>
  <si>
    <t>Telefone: +55 11 3861-3200
WhatsApp: +55 11 98789-0184 
E-mail: reservas@behotel.com.
Site: www.behotel.com
Agencias de viagem online (Booking.com, Hoteis.com, Decolar, Agoda, Kayak, Trivago)</t>
  </si>
  <si>
    <t>Site da Atlantica Hospitality International
Telefone: +55 (11) 3660-1840
E-mail:reservas.tehi@ahi.com.br.
Agencias de viagem online (Booking.com, Hoteis.com, Decolar, Agoda, Kayak, Trivago)</t>
  </si>
  <si>
    <t xml:space="preserve">Site: all.accor.com
Aplicativo ALL Accor
Telefone: +55 (11) 3393-7300
Agencias de viagem online
Booking.com; Kayak; Trivago; Dayuse. </t>
  </si>
  <si>
    <t>Site: www.dublinhotel.com.br
Telefone: +55 (11) 2776-0861.
WhatsApp: +55 (11) 98386-0907.
E-mail: reservas@dublinhotel.com.br
Agencias de viagem online (Booking.com, Hoteis.com, Decolar, Agoda, Kayak, Trivago)</t>
  </si>
  <si>
    <t>Site: http://www.hotelvilamoura.com.br/reservas.html
Fone: 11 95770-0519
Agencias de viagem online (Booking.com, Agoda, Kayak)</t>
  </si>
  <si>
    <t>Contatos para reserva
Telefone: +55 11 2495-8818
WhatsApp: +55 11 97618-7875
E-mail: hotelpousadapacaembu@gmail.com
Site: https://hotelpousadapacaembu.com.br/
Agencias de viagem online (Booking.com, Agoda, br.Bluepilow.com)</t>
  </si>
  <si>
    <t>TELEFONE: 11 3824-9311
WhatsApp: 11 9 9448-6277
Site: https://www.theparkhall.com.br/
Agencias de viagem online (Booking.com, Tripadvisor, br.Bluepilow.com, Vio.com)</t>
  </si>
  <si>
    <t>Site: https://hotelbellaaugusta.com.br/contato/
Telefone: 11 3141-0066
Whatsapp (11) 96161-2227
Agencias de viagem online (Booking.com, Agoda, Tripadvisor, br.Bluepilow.com)</t>
  </si>
  <si>
    <t xml:space="preserve">Site: https://www.nacionalinn.com.br/hotel/dan-inn-higienopolis
Telefone: 01135128790
Agencias de viagem online (Booking.com, Hoteis.com, Kayak e Decolar)
</t>
  </si>
  <si>
    <t xml:space="preserve">Site: http://hotelipanemainn.com.br/
Telefone: 01132553583
Agencias de viagem online (Booking.com, Hoteis.com, Kayak)
</t>
  </si>
  <si>
    <t xml:space="preserve">Site: https://www.monrealehotels.com/lifestyle-higienopolis
Telefone: 01132575288
Agencias de viagem online (Booking.com, Hoteis.com, Decolar)
</t>
  </si>
  <si>
    <t>Site: www.hotelcalstar.com.br 
Telefone: (11) 3258-5118 ou (11) 95272-7250
Agencias de viagem online (Booking.com, Hoteis.com, Decolar)</t>
  </si>
  <si>
    <t>Site:https://www.hotellaundos.com.br/ 
Telefone: 011980928316
Agencias de viagem online (Booking.com,  tripAdvisor)</t>
  </si>
  <si>
    <t>Site:http://www.fenixhoteis.com.br/
Telefone: 011980928316
Agencias de viagem online (Booking.com,  tripAdvisor)</t>
  </si>
  <si>
    <t xml:space="preserve">Site: https://www.wyndhamhotels.com/pt-br/ramada/sao-paulo-brazil/ramada-encore-sao-paulo-tiradentes/overview?CID=LC:wmcic5n98gs1g0r:51637&amp;iata=00093796
Telefone:01150436667
Agencias de viagem online (Booking.com, Hoteis.com, Decolar, Vio.com, Expedia.com, TripAdvisor)
</t>
  </si>
  <si>
    <t>Telefone:01133311552
Agencias de viagem online (Booking.com,  Agoda, Skyscanner, Hoteis.com, Expedia.com)</t>
  </si>
  <si>
    <t>Site: http://www.hotelpiratininga.com.br/
Telefone:01133344322
Agencias de viagem online (Booking.com,  Trivago, Decolar, Vio.com, Reservation Day, Hoteis.com)</t>
  </si>
  <si>
    <t>Site: https://www.hotel-bb.com/pt/hotel/sao-paulo-luz-centro
Telefone:01133125200
Agencias de viagem online (Booking.com,  Decolar, TripAdvisor, Hoteis.com, Traveluro, Br.Bluepillow)</t>
  </si>
  <si>
    <t>Site:https://all.accor.com
Telefone: 01146372340
Agencias de viagem online (Booking.com,  Decolar, Reservation Day)</t>
  </si>
  <si>
    <t>Site:http://www.hoteltropicalia.com.br/
Telefone: 01132295343
Agência de viagem online (Booking.com, TripAdvisor, Central de Reservas)</t>
  </si>
  <si>
    <t>Site:http:http://www.lasvegashotelsp.com.br/
Telefone: 01132218144
Agência de viagem online (Booking.com, TripAdvisor, br.Bluepilllow, Agoda, My Luxury Hotel)</t>
  </si>
  <si>
    <t>Site:http:https://www.nacionalinn.com.br/hotel/nacional-inn-sao-paulo-express
Telefone: 01143691817
Agência de viagem online (Booking.com,  Trivago, Decolar, Vio.com, Hoteis.com)</t>
  </si>
  <si>
    <t>Site:http:https://www.nacionalinn.com.br/hotel/nacional-inn-sao-paulo-express
Telefone:01121994748
Agência de viagem online (Booking.com,  TripAdvisor, Trivago, Decolar, Reservation Day, Hoteis.com)</t>
  </si>
  <si>
    <t>Site:http:https:https://www.dahercenterhotel.com.br/
Telefone:01132286133
Agência de viagem online (Booking.com,  TripAdvisor, Decolar,  br.Bluepillow, Hoteis.com)</t>
  </si>
  <si>
    <t>Site:http:https://www.nacionalinn.com.br
Telefone:01121990601
Agência de viagem online (Booking.com,  TripAdvisor, Decolar, Vio.com, Hoteis.com)</t>
  </si>
  <si>
    <t>Site:https://internacionalsaopaulo.hotelbrasil.top/
Telefone:01132237484
Agência de viagem online (Booking.com,  Skyscanner, Agoda, Decolar, Hoteis.com)</t>
  </si>
  <si>
    <t>Site:http://www.lugushotel.com.br/
Telefone: 01132235611
Agência de viagem online (Booking.com,  Skyscanner, Expedia, Hoteis.com)</t>
  </si>
  <si>
    <t>Site:http://www.hotelwindsor.com.br/
Telefone:01133315411
Agência de viagem online (Booking.com,  Decolar, Expedia, Hoteis.com)</t>
  </si>
  <si>
    <t>Site:https://realcastilha.com.br/
Telefone:01133319455
Agência de viagem online (Bookin.br/g.com,  Decolar, TripAdvisor, Hoteis.com)</t>
  </si>
  <si>
    <t>Site:https:http://www.hotelapolo.com.br/
Telefone: 01133616000
Agência de viagem online (Bookin.br/g.com,  Decolar, Trivago, Hoteis.com)</t>
  </si>
  <si>
    <t>Site: http://www.hotelnebias.com.br/
Telefone: 01133314211
Agência de viagem online (Booking.br, Agoda, TripAdvisor, Br.Bluepillow)</t>
  </si>
  <si>
    <t>Site: http://www.hotelcolumbia.com.br/
Telefone: 01133313411
Agência de viagem online (Booking.br, Decolar, TripAdvisor, Hotéis.com)</t>
  </si>
  <si>
    <t>Site: http://www.sonecaplaza.com.br/
Telefone: 01133377311
Agência de viagem online (Booking.br, Decolar, TripAdvisor, Evendo, Hoteis.com)</t>
  </si>
  <si>
    <t>Site: http:http://www.kinghotel.com.br/
Telefone: 01132250066
Agência de viagem online (Booking.br, Agoda, Skyscanner, Central de reservas, TripAdvisor)</t>
  </si>
  <si>
    <t>Site: http:http://www.caravelashotel.com.br/
Telefone: 01133314811
Agência de viagem online (br.Bluepillow, TripAdvisor)</t>
  </si>
  <si>
    <t>Site: https://www.delplaza.com/timbiras
Telefone: 01159903955
Agência de viagem online (Booking, Decolar, Vio.com, Traveluro, Expedia.com)</t>
  </si>
  <si>
    <t>Site: https://www.cinelandiahotel.com.br/
Telefone: 01133349500
Agência de viagem online (Booking, Decolar, TripAdvisor, Hoteis.com)</t>
  </si>
  <si>
    <t>Site: https://www.hotelluxsp.com.br/
Telefone: 01132219077
Agência de viagem online (Booking, Decolar, Trivago, Vio.com, Hoteis.com)</t>
  </si>
  <si>
    <t>Site: https://www.hotelamericadosul.com.br/
Telefone:01132236699
Agência de viagem online (Booking, Decolar, Tripadvisor, Vio.com, Hoteis.com)</t>
  </si>
  <si>
    <t>Site: http://www.baraohotel.com.br/
Telefone: 01144801040
Agência de viagem online (Booking, Decolar, Expedia, Hoteis.com)</t>
  </si>
  <si>
    <t>Site: http://www.hotelreinales.com.br/
Telefone: 01132236366
Agência de viagem online (Booking, Agoda, Tripadvisor, br.Bluepillow, Central Reservas)</t>
  </si>
  <si>
    <t>Site: http://www.sanmichelhotel.com.br/
Telefone: 01132241420
Agência de viagem online (Booking, Agoda, Tripadvisor, Trivago, Hoteis.com, Reservation Day)</t>
  </si>
  <si>
    <t>Site: http://www.rojas.com.br/
Telefone: 01132250888
Agência de viagem online (Booking, Agoda, Tripadvisor, goseek, Vio.com, Decolar, Hoteis.com, Reservation Day)</t>
  </si>
  <si>
    <t>Site: http://www.metropolishotel.com.br/
Telefone: 01133317433
Agência de viagem online (Booking, Agoda, Tripadvisor, br.Bluepillow)</t>
  </si>
  <si>
    <t>Site: https://hbook.hsystem.com.br
Telefone: 01148585828
Agência de viagem online (Booking, Agoda, Decolar, Trivago, Hoteis.com)</t>
  </si>
  <si>
    <t>Site: https://www.sanfranciscoplazza.com.br/pt-br/
Telefone: 01132231220
Agência de viagem online (Booking, Tripadvisor, Agoda, Decolar)</t>
  </si>
  <si>
    <t>Telefone: 011986120400
Agência de viagem online (Booking, Tripadvisor, Agoda, br.Bluepillow)</t>
  </si>
  <si>
    <t>Site: https://www.castelodeitaipavahoteis.com.br/hotel/braston-augusta
Telefone: 08007999925
Agência de viagem online (Booking, Decolar, Hoteis.com, Bluepillow)</t>
  </si>
  <si>
    <t>Site: https://wa.me/551132310440
Telefone: 011919115962
Agência de viagem online (Booking, Decolar, Hoteis.com, Agoda, Expedia)</t>
  </si>
  <si>
    <t>Site: http://www.hotelmoncloa.com.br/
Telefone: 01132562686
Agência de viagem online (Booking, Tripadvisor, Expedia, br.Bluepillow, Trip.com, Decolar, Hoteis.com, )</t>
  </si>
  <si>
    <t>Site: https://www.hotelpanamericano.com.br/
Telefone: 01132310333
Agência de viagem online (Booking, Expedia, Decolar, Hoteis.com, )</t>
  </si>
  <si>
    <t>Site: http://www.belacintra.com.br/
Telefone: http://www.belacintra.com.br/
Agência de viagem online (Booking, Expedia, Trivago, Hoteis.com, )</t>
  </si>
  <si>
    <t>Site: http://www.hotelheritage.com.br/
Telefone: 01132584088
Agência de viagem online (Booking, Decolar, Tripadvisor, Max, Expedia,  Hoteis.com, )</t>
  </si>
  <si>
    <t>Site: http://www.hotelcarillon.com.br/
Telefone: http://www.hotelcarillon.com.br/
Agência de viagem online (Booking, Decolar, Expedia, Expedia,  Hoteis.com, )</t>
  </si>
  <si>
    <t>Site: http://hotelcruzdemalta.com.br/
Telefone: 01131152841
Agência de viagem online (Booking, Agoda)</t>
  </si>
  <si>
    <t>Site: https://totalhotel.com.br/
Telefone:01143737000
Agência de viagem online (Booking, Hoteis.com, Decolar, Expedia, Max)</t>
  </si>
  <si>
    <t>Telefone:011916110135
Agência de viagem online (Booking, Hoteis.com, Decolar, Expedia, Max)</t>
  </si>
  <si>
    <t>Site: https://www.letsatlantica.com.br/hotel/transamerica-executive-perdizes
Telefone:011999073135
Agência de viagem online (Booking, Hoteis.com, Decolar, Expedia, Agoda)</t>
  </si>
  <si>
    <t>Site: http://www.slavierohoteis.com.br/
Telefone:01135043959
Agência de viagem online (Booking, Hoteis.com, Decolar, Expedia)</t>
  </si>
  <si>
    <t>Site: https://hotels.cloudbeds.com/reservas/TaqnFt#checkin=2022-11-21&amp;checkout=2022-11-22
Telefone:01131294420
Agência de viagem online (Booking, Hoteis.com, Decolar, Expedia)</t>
  </si>
  <si>
    <t>Site: https://www.ecotripsbrasil.com.br/casa-ecotrips/
Telefone: 011917601925
Agência de viagem online (Booking, vio.com)</t>
  </si>
  <si>
    <t>Telefone: 011987360662
Agência de viagem online (Booking, Hoteis.com)</t>
  </si>
  <si>
    <t>Site: http://www.redmonkeyhostel.com.br/
Telefone: 01127769194
Agência de viagem online (Booking, Hoteis.com, vio.com)</t>
  </si>
  <si>
    <t>Telefone: 011974427259
Agência de viagem online (Booking, Tripadvisor, Agoda)</t>
  </si>
  <si>
    <t>Telefone:11 94927-3314 no WhatsApp
Agência de viagem online (Booking, Kayak, Agoda)</t>
  </si>
  <si>
    <t>Telefone:11 32295999
Agência de viagem online (Booking, Agoda)</t>
  </si>
  <si>
    <t>Site:book.omniebees.com/ 
Telefone:11 32532279
Agência de viagem online (Booking,Expedia, Tripadvisor)</t>
  </si>
  <si>
    <t>Telefone:11 31228266
Agência de viagem online (Booking, br.Bluepillow)</t>
  </si>
  <si>
    <t>Telefone:11 32315633
Agência de viagem online (Tripadvisor, Hoteis.com)</t>
  </si>
  <si>
    <t>Site: centro433.com.br
Telefone:11 998115231
Agência de viagem online (Booking, br.Bluepillow) Hoteis.com)</t>
  </si>
  <si>
    <t>Reserva através de site oficial, plataformas de reserva online (Hoteis.com, Booking etc.), contato telefônico.</t>
  </si>
  <si>
    <t>Reserva via site oficial; plataformas de reserva online (Expedia, Booking etc.); contato por telefone / e‑mail</t>
  </si>
  <si>
    <t>Reserva online via site / OTAs / telefone, conforme padrões de hotéis urbanos (não encontrei fonte específica)</t>
  </si>
  <si>
    <t>Reserva pelo site oficial; contato por telefone; reserva via WhatsApp; plataformas de reserva online</t>
  </si>
  <si>
    <t>via site oficial, OTAs, telefone</t>
  </si>
  <si>
    <t>eserva via site oficial / contato direto / OTAs (Booking)</t>
  </si>
  <si>
    <t>Via site DELPLAZA, OTAs, contato telefônico / e‑mail</t>
  </si>
  <si>
    <t>Reserva via site oficial (rede Accor), OTAs, telefone (padrão de redes grandes)</t>
  </si>
  <si>
    <t>Reserva via site oficial da rede, OTAs (Booking, Hoteis.com etc.), telefone de contato do hotel disponível.</t>
  </si>
  <si>
    <t>Via site oficial (hotelgranocorona) / contato direto / reservas via plataformas</t>
  </si>
  <si>
    <t>Reservas via site oficial / OTAs (Booking, Expedia, Hoteis.com etc.) / telefone de contato</t>
  </si>
  <si>
    <t>Reserva via site oficial, OTAs como Booking.com, telefone de contato</t>
  </si>
  <si>
    <t>Reserva via site DelPlaza (Monreale), OTAs, contato telefônico / e-mail</t>
  </si>
  <si>
    <t>Reserva online via site Nacional Inn, OTAs (Booking etc.)</t>
  </si>
  <si>
    <t>Reserva via site oficial / plataformas de reservas (Booking etc.)</t>
  </si>
  <si>
    <t>Reserva via site oficial; OTAs; contato direto por telefone / WhatsApp / e‑mail</t>
  </si>
  <si>
    <t>Reserva online via OTAs (Booking, Expedia etc.); via site oficial / vendas da Atlantica / WhatsApp</t>
  </si>
  <si>
    <t>Reserva via site oficial; contato por telefone / WhatsApp;</t>
  </si>
  <si>
    <t>Reserva via site oficial da Bourbon; OTAs (Booking etc.); telefone de contato da central de reservas fornecido; e‑mail etc.</t>
  </si>
  <si>
    <t>Cartões de crédito(Visa, MasterCard, HiperCard, AmericanExpress, DinersClub Internacional), Cartão de débito (Maestro) e dinheiro</t>
  </si>
  <si>
    <t>Cartões de crédito (Visa, MasterCard, HiperCard, AmericanExpress, DinersClub Internacional, Elo, Discover, Aura, JCB e Hiper), Cartão de débito (Maestro)</t>
  </si>
  <si>
    <t>Cartões de crédito (Visa, MasterCard, AmericanExpress, Elo e JCB), Cartão de débito (Maestro) e dinheiro</t>
  </si>
  <si>
    <t>Cartões de crédito (Visa, Mastercard, American Express, Diners Culb)</t>
  </si>
  <si>
    <t>Cartões Visa, Mastercard, American Express, Elo, Hipercard e Dinheiro</t>
  </si>
  <si>
    <t>Cartões Visa, Mastercard, Elo e Dinheiro</t>
  </si>
  <si>
    <t>Cartões Visa, Mastercard, American Express, Elo, Diners Culb e Dinheiro</t>
  </si>
  <si>
    <t>Cartões Visa, Mastercard, Diners Culb, American Express, JCB, Elo, UnionPay e Dinheiro</t>
  </si>
  <si>
    <t>Cartão de crédito (Visa, MasterCard) e dinheiro</t>
  </si>
  <si>
    <t>Cartões Visa, Mastercard e Dinheiro</t>
  </si>
  <si>
    <t xml:space="preserve">Cartões de crédito(Visa, MasterCard, AmericanExpress, DinersClub Internacional e Elo) e dinheiro </t>
  </si>
  <si>
    <t xml:space="preserve">Cartões de crédito(Visa, MasterCard e Cartes Bancaires), Cartão de débito (Maestro) e dinheiro </t>
  </si>
  <si>
    <t>Cartão de crédito (Visa, MasterCard, American Express), débito e dinheiro</t>
  </si>
  <si>
    <t>Cartão de crédito (Visa, Mastercard, American Express, Diners, JCB, Discover, Hipercard), Cartão de débito (Maestro) e dinheiro</t>
  </si>
  <si>
    <t>Cartão de débito, dinheiro e Visa, Mastercard, American Express, Diners Culb</t>
  </si>
  <si>
    <t>Cartões Visa, Cartões Mastercard, Cartões Diners Culb</t>
  </si>
  <si>
    <t>Cartões Visa, Mastercard, Diners Culb, American Express, PIX e Dinheiro</t>
  </si>
  <si>
    <t>Cartões Visa, Cartões Mastercard, Cartões Diners Culb, Cartões American Express e Dinheiro</t>
  </si>
  <si>
    <t>Cartões Visa, Mastercard, Diners Culb, American Express e Dinheiro</t>
  </si>
  <si>
    <t>Cartões Visa, Cartões Mastercard e Dinheiro</t>
  </si>
  <si>
    <t>Cartões Visa, Mastercard, Diners Culb, American Express, Hipercard e Elo</t>
  </si>
  <si>
    <t>Cartões Visa, Mastercard, Diners Culb, American Express, Hipercard, Elo e Dinheiro</t>
  </si>
  <si>
    <t>Cartões Visa, Mastercard, American Express e Dinheiro</t>
  </si>
  <si>
    <t>Cartões Visa, American Express, MasterCard e Dinheiro.</t>
  </si>
  <si>
    <t>Cartões Visa, Mastercard, Diners Culb, American Express, Hipercard e Dinheiro</t>
  </si>
  <si>
    <t>Cartões Visa, Mastercard, Elo</t>
  </si>
  <si>
    <t>Cartões Visa, Mastercard, American Express, Diners Culb e Dinheiro</t>
  </si>
  <si>
    <t>Cartões Visa, Mastercard, Hipercard, Elo e Dinheiro</t>
  </si>
  <si>
    <t xml:space="preserve">Cartões Visa, Mastercard, Elo, Hipercard e Dinheiro
</t>
  </si>
  <si>
    <t>Cartões Visa, Mastercard e Discover</t>
  </si>
  <si>
    <t>Cartões Visa, Mastercard, American Express, Hipercard, Elo e Dinheiro</t>
  </si>
  <si>
    <t>Cartões Visa, Diners Culb, American Express, Hipercard e Dinheiro</t>
  </si>
  <si>
    <t>Cartões Visa, Mastercard, Hipercard e Dinheiro</t>
  </si>
  <si>
    <t>Cartões Visa, Mastercard, Diners Culb, American Express, Hipercard, Maestro e Dinheiro</t>
  </si>
  <si>
    <t>Dinheiro, Cartões Visa, MasterCard e American Express</t>
  </si>
  <si>
    <t>Dinheiro, Cartões Visa, MasterCard e American Express, Diners Club</t>
  </si>
  <si>
    <t>Dinheiro, Cartões Visa, MasterCard e American Express, PIX</t>
  </si>
  <si>
    <t>Dinheiro, Cartões Visa, MasterCard e American Express,</t>
  </si>
  <si>
    <t>Dinheiro, Cartões Visa, MasterCard e American Express, PagSeguro</t>
  </si>
  <si>
    <t xml:space="preserve">Dinheiro, Cartões Visa, MasterCard e American Express, Diners Club, Elo, </t>
  </si>
  <si>
    <t xml:space="preserve">PIX, Cartões Visa, MasterCard e American Express, Diners Club, Elo, </t>
  </si>
  <si>
    <t xml:space="preserve">Cartões Visa, MasterCard </t>
  </si>
  <si>
    <t xml:space="preserve">Cartões Visa, MasterCard e American Express, Diners Club, Elo, </t>
  </si>
  <si>
    <t>Cartões Visa, MasterCard e American Express, Diners Club, Elo, Hipercard, Dinheiro</t>
  </si>
  <si>
    <t>Cartões Visa, MasterCard e American Express, Elo, Dinheiro</t>
  </si>
  <si>
    <t>Cartões Visa, MasterCard e American Express, Elo, Diners Club, Dinheiro</t>
  </si>
  <si>
    <t>Cartões Visa, MasterCard e American Express, Dinheiro</t>
  </si>
  <si>
    <t>Cartões Visa, MasterCard e American Express, Diners Club, Elo, Dinheiro</t>
  </si>
  <si>
    <t>Cartões Visa, MasterCard, Dinheiro</t>
  </si>
  <si>
    <t>Cartões Visa, MasterCard e American Express, Elo, Hipercard, Dinheiro</t>
  </si>
  <si>
    <t>Cartões Visa, MasterCard, Elo, Dinheiro</t>
  </si>
  <si>
    <t>Cartões Visa, MasterCard, American Express, Diners Club, JCB, Elo, Dinheiro</t>
  </si>
  <si>
    <t>Cartões Visa, MasterCard, American Express, Elo, Dinheiro</t>
  </si>
  <si>
    <t>Cartões Visa, MasterCard,  Dinheiro</t>
  </si>
  <si>
    <t>Cartões Visa, MasterCard, American Express, Diners Club, Hipercard, Elo, Dinheiro</t>
  </si>
  <si>
    <t>Cartões Visa, MasterCard, American Express, Diners Club, Elo, PIX</t>
  </si>
  <si>
    <t>Cartões Visa, MasterCard, American Express, Diners Club, Elo, JCB, Discover, Unionpay, Dinheiro</t>
  </si>
  <si>
    <t>Cartões Visa, MasterCard, American Express, Diners Club, Elo</t>
  </si>
  <si>
    <t>Cartões Visa, MasterCard, American Express</t>
  </si>
  <si>
    <t>Cartões Visa, MasterCard, Hipercard, Unionpay, Dinheiro</t>
  </si>
  <si>
    <t>Cartões Visa, MasterCard, Hipercard, Dinheiro</t>
  </si>
  <si>
    <t>Cartões Visa, MasterCard, American Express, Diners Club, Elo, JCB, Discover, Hipercard, Dinheiro</t>
  </si>
  <si>
    <t>Cartões Visa, MasterCard, American Express, Diners Club, Elo, Dinheiro</t>
  </si>
  <si>
    <t>Cartões Visa, MasterCard, Elo</t>
  </si>
  <si>
    <t>Cartões MasterCard, Dinheiro</t>
  </si>
  <si>
    <t>Cartões Visa, MasterCard, American Express, Diners Club, Dinheiro</t>
  </si>
  <si>
    <t>Cartões Visa, MasterCard, American Express, Diners Club, Discover, Hipercard, Elo, Dinheiro</t>
  </si>
  <si>
    <t>Cartões Visa, MasterCard, American Express, Diners Club, Discover, JCB, UnionPay, Hipercard, Elo, Dinheiro</t>
  </si>
  <si>
    <t>Cartões Visa, MasterCard, American Express, Diners Club, Discover,  Hipercard, Elo, Dinheiro</t>
  </si>
  <si>
    <t>Cartões aceitos: American Express, Visa, Mastercard, Diners Club, Maestro.</t>
  </si>
  <si>
    <t>Cartões: American Express, Visa, Diners Club
Dinheiro: Não aceito em algumas reservas online</t>
  </si>
  <si>
    <t>Cartões: American Express, Visa, Mastercard, Diners Club, Elo; Dinheiro
(não parcelam)</t>
  </si>
  <si>
    <t>Cartões de crédito: Visa, Mastercard, American Express (AMEX)
Cartões de débito: Aceitos no momento do check-in
Dinheiro: Aceito no momento do check-in</t>
  </si>
  <si>
    <t>Cartões de crédito: Visa, MasterCard, American Express, Diners Club e Elo, Cartões de débito,Dinheiro, PIX</t>
  </si>
  <si>
    <t>Cartões: American Express, Visa, Diners, Elo; Dinheiro</t>
  </si>
  <si>
    <t>Turistas, casais, viajantes individuais e famílias pequenas</t>
  </si>
  <si>
    <t>Casais, turistas, viajantes individuais e famílias pequenas</t>
  </si>
  <si>
    <t>Turistas, Casais, Família, Grupos pequenos, Negócios</t>
  </si>
  <si>
    <t>Viajantes de negócios e compradores</t>
  </si>
  <si>
    <t>Viajantes de negócios, compradores e turistas</t>
  </si>
  <si>
    <t>Viajantes econômicos, mochileiros, jovens turistas e viajantes de negócios</t>
  </si>
  <si>
    <t xml:space="preserve">Viajantes de negócios, turistas e família </t>
  </si>
  <si>
    <t>Viajantes de negócios e turistas</t>
  </si>
  <si>
    <t>Turistas, negócios, compradores e visitantes de eventos</t>
  </si>
  <si>
    <t>Turistas, Negócios, Casais e Pequenos grupos</t>
  </si>
  <si>
    <t>Negócios, Turistas e Família.</t>
  </si>
  <si>
    <t>Negócios, Turistas, Pequenos grupos, Casais</t>
  </si>
  <si>
    <t>Negócios e Turistas</t>
  </si>
  <si>
    <t>Negócios, Turistas, Pequenos grupos</t>
  </si>
  <si>
    <t>Negócios, Turistas, Pequenos grupos e Família</t>
  </si>
  <si>
    <t>Negócios, Turistas, Família e Casais</t>
  </si>
  <si>
    <t>Negócios, Turistas, Família e Grupos grandes</t>
  </si>
  <si>
    <t>Negócios, Turistas e Estudantes</t>
  </si>
  <si>
    <t>Viajantes individuais, Casais, Famílias pequenas, Grupos de amigos, Negócios, Turistas</t>
  </si>
  <si>
    <t>Viajantes individuais, Grupos de amigos, Turistas em geral, Estudantes</t>
  </si>
  <si>
    <t>Viajantes individuais, Grupos de amigos, Turistas em geral, Famílias, Negócios</t>
  </si>
  <si>
    <t>Turistas, Negócios, Estudantes, Famílias</t>
  </si>
  <si>
    <t>Turistas, Estudantes, Famílias</t>
  </si>
  <si>
    <t>Turistas e Negócios</t>
  </si>
  <si>
    <t>Viajantes individuais, Grupos de amigos, Turistas, Famílias pequenas, Negócios</t>
  </si>
  <si>
    <t>Viajantes individuais e Casais</t>
  </si>
  <si>
    <t>Viajantes individuais, casais, grupos pequenos, turistas em geral, participantes de eventos</t>
  </si>
  <si>
    <t>Estudantes, Turistas e Negócios</t>
  </si>
  <si>
    <t>Viajantes individuais, Casais, Família, Grupos de amigos, Turistas, Estudantes</t>
  </si>
  <si>
    <t>Casais, Viajantes individuais</t>
  </si>
  <si>
    <t>Negócios, Turistas, Famílias</t>
  </si>
  <si>
    <t>Negócios, Turistas, Famílias, Casais, Viajantes locais, Pequenos grupos</t>
  </si>
  <si>
    <t xml:space="preserve"> Turistas, Famílias</t>
  </si>
  <si>
    <t xml:space="preserve"> Negócios, Turistas, Famílias</t>
  </si>
  <si>
    <t xml:space="preserve"> Negócios, Turistas, Famílias, Estudantes</t>
  </si>
  <si>
    <t xml:space="preserve"> Negócios, Turistas</t>
  </si>
  <si>
    <t>Negócios, Turistas, Família</t>
  </si>
  <si>
    <t>Negócios, Turistas, Grupos, Família</t>
  </si>
  <si>
    <t>Negócios, Turistas</t>
  </si>
  <si>
    <t>Negócios, Turistas, Famílias, Grupos</t>
  </si>
  <si>
    <t>Negócios, Turistas,</t>
  </si>
  <si>
    <t>Negócios, Turistas, Famílias,</t>
  </si>
  <si>
    <t xml:space="preserve">Negócios, Turistas, Família, </t>
  </si>
  <si>
    <t xml:space="preserve">Negócios, Turistas, </t>
  </si>
  <si>
    <t>Mochileiros, Estudantes, Turistas</t>
  </si>
  <si>
    <t xml:space="preserve">Mochileiros, Turistas, </t>
  </si>
  <si>
    <t>Econômico, Mochileiros</t>
  </si>
  <si>
    <t>Turistas, Famílias</t>
  </si>
  <si>
    <t>Famílias, Turistas, Casais</t>
  </si>
  <si>
    <t>Famílias, Turistas</t>
  </si>
  <si>
    <t>turistas urbanos; pessoas viajando a negócios; viajantes que desejam estar em localização central; quem valoriza proximidade ao comércio, transporte público, cultura; algumas famílias com crianças pequenas</t>
  </si>
  <si>
    <t>Turistas de lazer; viajantes de negócio; pessoas que buscam hospedagem de custo‑benefício no centro histórico; quem valoriza localização próxima a transporte público, metrô; viajantes que preferem estadia simples porém confortável.</t>
  </si>
  <si>
    <t>Hóspedes de turismo urbano, viajantes que buscam localização central, pessoas que visitam o centro / cultura em São Paulo</t>
  </si>
  <si>
    <t>Pessoas viajando a negócios ou lazer que procuram localização central; quem vai fazer compras; turistas culturais; hóspedes que buscam custo-benefício; quem quer praticidade de estar perto de transporte público e comércio.</t>
  </si>
  <si>
    <t>casais, familias,viajantes de negócios, quem prioriza localização central</t>
  </si>
  <si>
    <t>Negócios, turismo urbano, viajante que busca localização central (próximo à República, centros de comércio)</t>
  </si>
  <si>
    <t>Viajantes urbanos, pessoas que desejam hospedagem central, turistas que querem proximidade com o centro histórico e atrações culturais</t>
  </si>
  <si>
    <t>Viagem de negócios, corporativos, viajantes que querem localização central, também turismo urbano focado em acesso fácil a serviços, transporte, restaurantes, cultura; casais ou viajantes solo que valorizam custo‑benefício e conforto moderno.</t>
  </si>
  <si>
    <t>pessoas que buscam custo‑benefício; casais; turistas urbanos</t>
  </si>
  <si>
    <t>Turistas urbanos, viajantes de negócios, quem quer hospedagem central com fácil acesso a transporte público e atrações culturais</t>
  </si>
  <si>
    <t>Viagem a trabalho, lazer urbano, pessoas que querem estar no centro com acesso fácil a atrações de São Paulo</t>
  </si>
  <si>
    <t>Turistas com interesse em hospedagem de charme, cultura, gastronomia; quem quer estar no centro e com estilo clássico</t>
  </si>
  <si>
    <t>Turistas urbanos e viagens de negócios que buscam localização central; pessoas que valorizam proximidade de comércio, restaurantes, atrações culturais; preferem hospedagem funcional, de custo‑benefício.</t>
  </si>
  <si>
    <t>Viagens de negócios ou lazer de média/longa duração (residencial/aparthotel); pessoas que buscam localização central com autonomia</t>
  </si>
  <si>
    <t>Hóspedes de custo‑benefício; viajantes individuais ou casais; pessoas que valorizam localização, limpeza e simplicidade; útil para quem vai a shows (Allianz Parque), negócios ou eventos próximos.</t>
  </si>
  <si>
    <t>Viajantes de negócios; pessoas participando de eventos; turistas que buscam boa localização perto de centros de eventos e transporte; casais ou pessoas que querem conforto urbano com boa estrutura.</t>
  </si>
  <si>
    <t>Não aceita pets</t>
  </si>
  <si>
    <t>Aceita pets</t>
  </si>
  <si>
    <t>Aceita só pets de serviço</t>
  </si>
  <si>
    <t>Não</t>
  </si>
  <si>
    <t>Sim</t>
  </si>
  <si>
    <t>Hotel independente</t>
  </si>
  <si>
    <t>Rede OYO</t>
  </si>
  <si>
    <t>Rede Accor</t>
  </si>
  <si>
    <t>Rede Buenas Hot</t>
  </si>
  <si>
    <t>Rede Atlantica</t>
  </si>
  <si>
    <t>Rede Nacioanl Inn N</t>
  </si>
  <si>
    <t>Rede Monreale N</t>
  </si>
  <si>
    <t>Rede B</t>
  </si>
  <si>
    <t>Rede ibis Styles Aceita pets</t>
  </si>
  <si>
    <t>Rede Delplaza N</t>
  </si>
  <si>
    <t>Rede Lux Hoteis N</t>
  </si>
  <si>
    <t>Rede de Hot</t>
  </si>
  <si>
    <t>Rede Pan de Hot</t>
  </si>
  <si>
    <t>Rede Transamerica</t>
  </si>
  <si>
    <t>Rede Slaviero</t>
  </si>
  <si>
    <t>rede SJ Hot</t>
  </si>
  <si>
    <t>rede DELPLAZA</t>
  </si>
  <si>
    <t>rede internacional de hot</t>
  </si>
  <si>
    <t>rede INNSiDE by Meli</t>
  </si>
  <si>
    <t>rede do Grupo Endutex</t>
  </si>
  <si>
    <t>rede Monreale</t>
  </si>
  <si>
    <t>rede Nacional Inn Hot</t>
  </si>
  <si>
    <t>1h</t>
  </si>
  <si>
    <t>13:30h</t>
  </si>
  <si>
    <t>R. Treze de Maio, 198, São Paulo, Brasil</t>
  </si>
  <si>
    <t>R. Santa Teresa, 21, São Paulo, Brasil</t>
  </si>
  <si>
    <t>R. dos Franceses, 100 , São Paulo, Brasil</t>
  </si>
  <si>
    <t>R. Frei Caneca, 826, São Paulo, Brasil</t>
  </si>
  <si>
    <t>R. Bela Cintra, 702 , São Paulo, Brasil</t>
  </si>
  <si>
    <t>R. Cap. Salomão, 40, São Paulo, Brasil</t>
  </si>
  <si>
    <t>R. da Consolação, 2303, São Paulo, Brasil</t>
  </si>
  <si>
    <t>Rua do Gasômetro, 436, São Paulo, Brasil</t>
  </si>
  <si>
    <t>R. Prof. Luciano Prata, 179, São Paulo, Brasil</t>
  </si>
  <si>
    <t>R. Dutra Rodrigues, 102, São Paulo, Brasil</t>
  </si>
  <si>
    <t>R. Luís Pacheco, São Paulo, Brasil</t>
  </si>
  <si>
    <t>Rua Marechal Odylio Denys, 60, São Paulo, Brasil</t>
  </si>
  <si>
    <t>Av. Cruzeiro do Sul, 1817 , São Paulo, Brasil</t>
  </si>
  <si>
    <t>R. Mons. Anacleto, 140, São Paulo, Brasil</t>
  </si>
  <si>
    <t>R. Amaral Gurgel, 48, São Paulo, Brasil</t>
  </si>
  <si>
    <t>R. Monte Alegre, 835 , São Paulo, Brasil</t>
  </si>
  <si>
    <t>R. Monte Alegre, 45 , São Paulo, Brasil</t>
  </si>
  <si>
    <t>R. Alagoas, 974, São Paulo, Brasil</t>
  </si>
  <si>
    <t>R. Eduardo Viana, 163, São Paulo, Brasil</t>
  </si>
  <si>
    <t>R. Conselheiro Brotero, 854, São Paulo, Brasil</t>
  </si>
  <si>
    <t>Av. Santos Dumont, 632, São Paulo, Brasil</t>
  </si>
  <si>
    <t>R. Traipu, 641, São Paulo, Brasil</t>
  </si>
  <si>
    <t>Rua Aracaju, 66, São Paulo, Brasil</t>
  </si>
  <si>
    <t>R. Augusta, 1255 , São Paulo, Brasil</t>
  </si>
  <si>
    <t>R. Maria Antônia, 40, São Paulo, Brasil</t>
  </si>
  <si>
    <t>R. Maria Antônia, 190, São Paulo, Brasil</t>
  </si>
  <si>
    <t>Rua Dona Veridiana, 643, São Paulo, Brasil</t>
  </si>
  <si>
    <t>Rua Martinho Prado, 173 , São Paulo, Brasil</t>
  </si>
  <si>
    <t>R. Epitácio Pessoa, 97, São Paulo, Brasil</t>
  </si>
  <si>
    <t>R. Dr. Carvalho de Mendonça, 75, São Paulo, Brasil</t>
  </si>
  <si>
    <t>Rua Prates, 324 , São Paulo, Brasil</t>
  </si>
  <si>
    <t>Av. Tiradentes, 826 , São Paulo, Brasil</t>
  </si>
  <si>
    <t>R. dos Andradas, 600, São Paulo, Brasil</t>
  </si>
  <si>
    <t>Largo General Osório, 103, São Paulo, Brasil</t>
  </si>
  <si>
    <t>R. Florêncio de Abreu, 752 , São Paulo, Brasil</t>
  </si>
  <si>
    <t>Av. Sen. Queirós, 202, São Paulo, Brasil</t>
  </si>
  <si>
    <t>R. Washington Luís, 330 , São Paulo, Brasil</t>
  </si>
  <si>
    <t>R. Vitória, 390, São Paulo, Brasil</t>
  </si>
  <si>
    <t>Av. Cásper Líbero, 125 , São Paulo, Brasil</t>
  </si>
  <si>
    <t>Av. Cásper Líbero, 115, São Paulo, Brasil</t>
  </si>
  <si>
    <t>R. Cel. Batista da Luz, 50, São Paulo, Brasil</t>
  </si>
  <si>
    <t>Viaduto Santa Ifigênia, 44, São Paulo, Brasil</t>
  </si>
  <si>
    <t>Av. Ipiranga, 1198 , São Paulo, Brasil</t>
  </si>
  <si>
    <t>R. Aurora, 427, São Paulo, Brasil</t>
  </si>
  <si>
    <t>R. dos Timbiras, 444 , São Paulo, Brasil</t>
  </si>
  <si>
    <t>Rua dos Timbiras 472, São Paulo, Brasil</t>
  </si>
  <si>
    <t>Rua dos Timbiras, 483, São Paulo, Brasil</t>
  </si>
  <si>
    <t>R. Conselheiro Nébias, 30 , São Paulo, Brasil</t>
  </si>
  <si>
    <t>Rua dos Timbiras, 492, São Paulo, Brasil</t>
  </si>
  <si>
    <t>R. dos Timbiras, 502, São Paulo, Brasil</t>
  </si>
  <si>
    <t>R. Conselheiro Nébias, 142, São Paulo, Brasil</t>
  </si>
  <si>
    <t>R. Pedro Américo, 23, São Paulo, Brasil</t>
  </si>
  <si>
    <t>R. dos Timbiras, 621 , São Paulo, Brasil</t>
  </si>
  <si>
    <t>Av. São João, 536, São Paulo, Brasil</t>
  </si>
  <si>
    <t>Praça Júlio Mesquita, 34, São Paulo, Brasil</t>
  </si>
  <si>
    <t>Praça Júlio Mesquita, 90, São Paulo, Brasil</t>
  </si>
  <si>
    <t>Alameda Barão de Limeira, 117, São Paulo, Brasil</t>
  </si>
  <si>
    <t>Alameda Barão de Limeira, 145, São Paulo, Brasil</t>
  </si>
  <si>
    <t>Largo do Arouche, 200, São Paulo, Brasil</t>
  </si>
  <si>
    <t>Av. São João, 1399, São Paulo, Brasil</t>
  </si>
  <si>
    <t>Rua Helvétia, 973 , São Paulo, Brasil</t>
  </si>
  <si>
    <t>Largo do Arouche, 414, São Paulo, Brasil</t>
  </si>
  <si>
    <t>R. Marquês de Itu, 271 , São Paulo, Brasil</t>
  </si>
  <si>
    <t>R. Amaral Gurgel, 380 , São Paulo, Brasil</t>
  </si>
  <si>
    <t>R. Augusta, 467, São Paulo, Brasil</t>
  </si>
  <si>
    <t>R. Avanhandava, 376 , São Paulo, Brasil</t>
  </si>
  <si>
    <t>R. Augusta, 646, São Paulo, Brasil</t>
  </si>
  <si>
    <t>R. Augusta, 778, São Paulo, Brasil</t>
  </si>
  <si>
    <t>R. Bela Cintra, 196, São Paulo, Brasil</t>
  </si>
  <si>
    <t>R. Bela Cintra, 652 , São Paulo, Brasil</t>
  </si>
  <si>
    <t>R. São Francisco, 47, São Paulo, Brasil</t>
  </si>
  <si>
    <t>R. João Teodoro, 1200, São Paulo, Brasil</t>
  </si>
  <si>
    <t>R. Rocha, 29, São Paulo, Brasil</t>
  </si>
  <si>
    <t>R. Sílvia, 64, São Paulo, Brasil</t>
  </si>
  <si>
    <t>Rua Peixoto Gomide, 434, São Paulo, Brasil</t>
  </si>
  <si>
    <t>R. Cruzeiro, 399A , São Paulo, Brasil</t>
  </si>
  <si>
    <t>R. Monte Alegre, 835, São Paulo, Brasil</t>
  </si>
  <si>
    <t>R. Araújo, 141 , São Paulo, Brasil</t>
  </si>
  <si>
    <t>R. da Consolação, 1813, São Paulo, Brasil</t>
  </si>
  <si>
    <t>Rua do bosque, 1925, São Paulo, Brasil</t>
  </si>
  <si>
    <t>Rua Bonifácio de Andrada, 147, São Paulo, Brasil</t>
  </si>
  <si>
    <t>Rua Parintins, 41, São Paulo, Brasil</t>
  </si>
  <si>
    <t>Rua Martim Francisco, 35 (casa), São Paulo, Brasil</t>
  </si>
  <si>
    <t>Rua Vitorino Camilo, 172, São Paulo, Brasil</t>
  </si>
  <si>
    <t>Rua Prates, 936, São Paulo, Brasil</t>
  </si>
  <si>
    <t>Rua Frei Caneca, 1006, São Paulo, Brasil</t>
  </si>
  <si>
    <t>Rua Cel. Xavier de Toledo, 250, São Paulo, Brasil</t>
  </si>
  <si>
    <t>Rua Dom José de Barros, 28, São Paulo, Brasil</t>
  </si>
  <si>
    <t>Av. Duque de Caxias, 433, São Paulo, Brasil</t>
  </si>
  <si>
    <t>Largo do Arouche, 150, São Paulo, Brasi</t>
  </si>
  <si>
    <t>Rua do Triunfo, 168, São Paulo, Brasil</t>
  </si>
  <si>
    <t>Av. Ipiranga, 1187, São Paulo, Brasil</t>
  </si>
  <si>
    <t>Av. Vieira de Carvalho, 150 , São Paulo, Brasil</t>
  </si>
  <si>
    <t>R. Aurora, 909 , São Paulo, Brasil</t>
  </si>
  <si>
    <t>Av. Ipiranga, 757, São Paulo, Brasil</t>
  </si>
  <si>
    <t>Alameda Olga, 288, São Paulo, Brasil</t>
  </si>
  <si>
    <t>R. Maranhão, 371, São Paulo, Brasil</t>
  </si>
  <si>
    <t>R. Basílio da Gama, São Paulo, Brasil</t>
  </si>
  <si>
    <t>Av. São Luís, 234, São Paulo, Brasil</t>
  </si>
  <si>
    <t>R. Martins Fontes, São Paulo, Brasil</t>
  </si>
  <si>
    <t>Rua Prates, 145, , São Paulo, Brasil</t>
  </si>
  <si>
    <t>Av. Ipiranga, 770 , São Paulo, Brasil</t>
  </si>
  <si>
    <t>R. Martins Fontes, 71, São Paulo, Brasil</t>
  </si>
  <si>
    <t>R. Augusta, 129, São Paulo, Brasil</t>
  </si>
  <si>
    <t>R. Augusta, 843, São Paulo, Brasil</t>
  </si>
  <si>
    <t>Rua Bela Cintra 521, São Paulo, Brasil</t>
  </si>
  <si>
    <t>R. Turiassu, 328, São Paulo, Brasil</t>
  </si>
  <si>
    <t>Av. Marquês de S. Vicente, 77, São Paulo, Brasil</t>
  </si>
  <si>
    <t>R. Dr. Luís Barreto, 91, São Paulo, Brasil</t>
  </si>
  <si>
    <t>Latitude</t>
  </si>
  <si>
    <t>46°38'59.9"W</t>
  </si>
  <si>
    <t xml:space="preserve">23°31'50.0"S </t>
  </si>
  <si>
    <t xml:space="preserve">23°31'53.5"S </t>
  </si>
  <si>
    <t>46°39'19.2"W</t>
  </si>
  <si>
    <t xml:space="preserve">23°31'39.6"S </t>
  </si>
  <si>
    <t>46°39'34.7"W</t>
  </si>
  <si>
    <t xml:space="preserve">23°31'56.3"S </t>
  </si>
  <si>
    <t>46°39'43.1"W</t>
  </si>
  <si>
    <t xml:space="preserve">23°33'28.2"S </t>
  </si>
  <si>
    <t>46°38'49.1"W</t>
  </si>
  <si>
    <t xml:space="preserve">23°33'33.6"S </t>
  </si>
  <si>
    <t>46°38'45.9"W</t>
  </si>
  <si>
    <t xml:space="preserve">23°33'30.7"S </t>
  </si>
  <si>
    <t>46°38'41.6"W</t>
  </si>
  <si>
    <t>23°33'10.9"S</t>
  </si>
  <si>
    <t xml:space="preserve"> 46°38'16.6"W</t>
  </si>
  <si>
    <t xml:space="preserve">23°33'25.2"S </t>
  </si>
  <si>
    <t>46°38'03.1"W</t>
  </si>
  <si>
    <t>46°38'37.3"W</t>
  </si>
  <si>
    <t xml:space="preserve">23°32'11.7"S </t>
  </si>
  <si>
    <t xml:space="preserve">23°33'18.2"S </t>
  </si>
  <si>
    <t>46°38'50.4"W</t>
  </si>
  <si>
    <t>23°32'18.0"S</t>
  </si>
  <si>
    <t xml:space="preserve"> 46°38'40.1"W</t>
  </si>
  <si>
    <t xml:space="preserve">23°31'51.8"S </t>
  </si>
  <si>
    <t>46°39'43.3"W</t>
  </si>
  <si>
    <t>46°38'41.1"W</t>
  </si>
  <si>
    <t>23°32'22.4"S</t>
  </si>
  <si>
    <t>23°32'25.6"S</t>
  </si>
  <si>
    <t xml:space="preserve"> 46°38'20.4"W</t>
  </si>
  <si>
    <t xml:space="preserve">23°32'20.7"S </t>
  </si>
  <si>
    <t>46°38'15.7"W</t>
  </si>
  <si>
    <t xml:space="preserve">23°32'21.9"S </t>
  </si>
  <si>
    <t>46°38'18.3"W</t>
  </si>
  <si>
    <t xml:space="preserve">23°33'22.6"S </t>
  </si>
  <si>
    <t>46°38'58.4"W</t>
  </si>
  <si>
    <t>23°32'16.1"S</t>
  </si>
  <si>
    <t xml:space="preserve"> 46°38'11.2"W</t>
  </si>
  <si>
    <t xml:space="preserve">23°33'31.3"S </t>
  </si>
  <si>
    <t>46°39'03.4"W</t>
  </si>
  <si>
    <t xml:space="preserve">23°32'07.8"S </t>
  </si>
  <si>
    <t>46°38'11.9"W</t>
  </si>
  <si>
    <t xml:space="preserve">23°33'27.2"S </t>
  </si>
  <si>
    <t>46°39'19.9"W</t>
  </si>
  <si>
    <t xml:space="preserve">23°32'09.2"S </t>
  </si>
  <si>
    <t>46°37'59.6"W</t>
  </si>
  <si>
    <t xml:space="preserve">23°32'30.1"S </t>
  </si>
  <si>
    <t>46°38'17.5"W</t>
  </si>
  <si>
    <t xml:space="preserve">23°32'37.1"S </t>
  </si>
  <si>
    <t>46°38'26.2"W</t>
  </si>
  <si>
    <t>R. Dom José de Barros, 319, São Paulo, Brasil</t>
  </si>
  <si>
    <t xml:space="preserve">23°32'35.1"S </t>
  </si>
  <si>
    <t>46°38'22.2"W</t>
  </si>
  <si>
    <t>46°38'15.8"W</t>
  </si>
  <si>
    <t>23°32'32.8"S</t>
  </si>
  <si>
    <t>46°38'11.6"W</t>
  </si>
  <si>
    <t>23°32'32.3"S</t>
  </si>
  <si>
    <t>23°32'51.9"S</t>
  </si>
  <si>
    <t xml:space="preserve"> 46°38'25.2"W</t>
  </si>
  <si>
    <t xml:space="preserve">23°33'16.6"S </t>
  </si>
  <si>
    <t>46°38'49.2"W</t>
  </si>
  <si>
    <t>R. Dr Bitencourt Rodrigues, 31, São Paulo, Brasil</t>
  </si>
  <si>
    <t>23°32'57.6"S</t>
  </si>
  <si>
    <t xml:space="preserve"> 46°37'51.6"W</t>
  </si>
  <si>
    <t xml:space="preserve">23°32'58.9"S </t>
  </si>
  <si>
    <t>46°37'59.5"W</t>
  </si>
  <si>
    <t xml:space="preserve">23°33'31.5"S </t>
  </si>
  <si>
    <t>46°38'52.2"W</t>
  </si>
  <si>
    <t xml:space="preserve">23°33'15.4"S </t>
  </si>
  <si>
    <t>46°39'18.6"W</t>
  </si>
  <si>
    <t xml:space="preserve">23°33'13.2"S </t>
  </si>
  <si>
    <t>46°39'33.0"W</t>
  </si>
  <si>
    <t>23°32'33.4"S</t>
  </si>
  <si>
    <t xml:space="preserve"> 46°38'12.5"W</t>
  </si>
  <si>
    <t>23°33'17.5"S</t>
  </si>
  <si>
    <t xml:space="preserve"> 46°39'40.5"W</t>
  </si>
  <si>
    <t xml:space="preserve">23°32'39.0"S </t>
  </si>
  <si>
    <t>46°37'19.1"W</t>
  </si>
  <si>
    <t xml:space="preserve">23°30'51.1"S </t>
  </si>
  <si>
    <t>46°39'04.7"W</t>
  </si>
  <si>
    <t xml:space="preserve">23°32'01.0"S </t>
  </si>
  <si>
    <t>46°37'53.2"W</t>
  </si>
  <si>
    <t xml:space="preserve">23°31'34.0"S </t>
  </si>
  <si>
    <t>46°37'41.8"W</t>
  </si>
  <si>
    <t xml:space="preserve">23°30'57.5"S </t>
  </si>
  <si>
    <t>46°37'34.5"W</t>
  </si>
  <si>
    <t xml:space="preserve">23°30'53.4"S </t>
  </si>
  <si>
    <t>46°37'31.4"W</t>
  </si>
  <si>
    <t>46°37'24.7"W</t>
  </si>
  <si>
    <t>23°32'42.4"S</t>
  </si>
  <si>
    <t xml:space="preserve">23°32'31.3"S </t>
  </si>
  <si>
    <t>46°38'52.8"W</t>
  </si>
  <si>
    <t xml:space="preserve">23°32'14.3"S </t>
  </si>
  <si>
    <t>46°40'11.3"W</t>
  </si>
  <si>
    <t xml:space="preserve">23°31'51.7"S </t>
  </si>
  <si>
    <t>46°39'55.8"W</t>
  </si>
  <si>
    <t xml:space="preserve">23°32'37.9"S </t>
  </si>
  <si>
    <t>46°39'45.9"W</t>
  </si>
  <si>
    <t xml:space="preserve">23°31'07.9"S </t>
  </si>
  <si>
    <t>46°39'18.0"W</t>
  </si>
  <si>
    <t xml:space="preserve">23°32'01.3"S </t>
  </si>
  <si>
    <t>46°39'34.9"W</t>
  </si>
  <si>
    <t xml:space="preserve">23°31'22.8"S </t>
  </si>
  <si>
    <t>46°37'48.5"W</t>
  </si>
  <si>
    <t xml:space="preserve">23°32'14.5"S </t>
  </si>
  <si>
    <t>46°39'52.6"W</t>
  </si>
  <si>
    <t xml:space="preserve">23°32'32.3"S </t>
  </si>
  <si>
    <t>46°39'34.6"W</t>
  </si>
  <si>
    <t xml:space="preserve">23°33'17.6"S </t>
  </si>
  <si>
    <t>46°39'24.4"W</t>
  </si>
  <si>
    <t xml:space="preserve">23°32'50.6"S </t>
  </si>
  <si>
    <t>46°38'57.0"W</t>
  </si>
  <si>
    <t xml:space="preserve">23°32'47.5"S </t>
  </si>
  <si>
    <t>46°39'01.1"W</t>
  </si>
  <si>
    <t xml:space="preserve">23°32'41.6"S </t>
  </si>
  <si>
    <t>46°39'06.8"W</t>
  </si>
  <si>
    <t xml:space="preserve">23°33'01.0"S </t>
  </si>
  <si>
    <t>46°38'46.2"W</t>
  </si>
  <si>
    <t xml:space="preserve">23°32'45.3"S </t>
  </si>
  <si>
    <t>46°38'45.6"W</t>
  </si>
  <si>
    <t xml:space="preserve">23°32'03.1"S </t>
  </si>
  <si>
    <t>46°38'59.7"W</t>
  </si>
  <si>
    <t xml:space="preserve">23°31'51.4"S </t>
  </si>
  <si>
    <t>46°38'11.2"W</t>
  </si>
  <si>
    <t xml:space="preserve">23°31'42.3"S </t>
  </si>
  <si>
    <t>46°37'49.6"W</t>
  </si>
  <si>
    <t>23°32'06.9"S</t>
  </si>
  <si>
    <t xml:space="preserve"> 46°38'24.6"W</t>
  </si>
  <si>
    <t>46°38'18.9"W</t>
  </si>
  <si>
    <t xml:space="preserve">23°32'13.0"S </t>
  </si>
  <si>
    <t>46°37'58.5"W</t>
  </si>
  <si>
    <t xml:space="preserve">23°32'21.6"S </t>
  </si>
  <si>
    <t>46°38'03.2"W</t>
  </si>
  <si>
    <t xml:space="preserve">23°32'15.9"S </t>
  </si>
  <si>
    <t>46°38'10.6"W</t>
  </si>
  <si>
    <t xml:space="preserve">23°32'18.6"S </t>
  </si>
  <si>
    <t>46°38'25.4"W</t>
  </si>
  <si>
    <t xml:space="preserve">23°32'24.3"S </t>
  </si>
  <si>
    <t xml:space="preserve">23°32'25.0"S </t>
  </si>
  <si>
    <t>46°38'11.8"W</t>
  </si>
  <si>
    <t xml:space="preserve">23°32'26.3"S </t>
  </si>
  <si>
    <t>46°38'10.2"W</t>
  </si>
  <si>
    <t xml:space="preserve">23°32'29.2"S </t>
  </si>
  <si>
    <t>46°38'11.0"W</t>
  </si>
  <si>
    <t>46°38'14.7"W</t>
  </si>
  <si>
    <t>23°32'23.4"S</t>
  </si>
  <si>
    <t xml:space="preserve"> 46°38'25.3"W</t>
  </si>
  <si>
    <t xml:space="preserve">23°32'26.8"S </t>
  </si>
  <si>
    <t>46°38'24.7"W</t>
  </si>
  <si>
    <t xml:space="preserve">23°32'27.4"S </t>
  </si>
  <si>
    <t>46°38'25.8"W</t>
  </si>
  <si>
    <t xml:space="preserve">23°32'28.9"S </t>
  </si>
  <si>
    <t>46°38'25.2"W</t>
  </si>
  <si>
    <t xml:space="preserve">23°32'29.8"S </t>
  </si>
  <si>
    <t>46°38'26.4"W</t>
  </si>
  <si>
    <t xml:space="preserve">23°32'27.8"S </t>
  </si>
  <si>
    <t>46°38'26.1"W</t>
  </si>
  <si>
    <t xml:space="preserve">23°32'28.0"S </t>
  </si>
  <si>
    <t>46°38'26.9"W</t>
  </si>
  <si>
    <t xml:space="preserve">23°32'27.0"S </t>
  </si>
  <si>
    <t>46°38'28.4"W</t>
  </si>
  <si>
    <t>46°38'31.0"W</t>
  </si>
  <si>
    <t>46°38'29.0"W</t>
  </si>
  <si>
    <t>23°32'29.1"S</t>
  </si>
  <si>
    <t xml:space="preserve">23°32'33.3"S </t>
  </si>
  <si>
    <t>46°38'21.0"W</t>
  </si>
  <si>
    <t xml:space="preserve">23°32'26.1"S </t>
  </si>
  <si>
    <t>46°38'31.9"W</t>
  </si>
  <si>
    <t xml:space="preserve">23°32'25.1"S </t>
  </si>
  <si>
    <t>46°38'33.2"W</t>
  </si>
  <si>
    <t xml:space="preserve">23°32'21.2"S </t>
  </si>
  <si>
    <t>46°38'37.2"W</t>
  </si>
  <si>
    <t xml:space="preserve">23°32'20.4"S </t>
  </si>
  <si>
    <t>46°38'38.2"W</t>
  </si>
  <si>
    <t xml:space="preserve">23°32'22.6"S </t>
  </si>
  <si>
    <t>46°38'43.2"W</t>
  </si>
  <si>
    <t>46°38'47.8"W</t>
  </si>
  <si>
    <t>23°32'20.6"S</t>
  </si>
  <si>
    <t>46°38'56.6"W</t>
  </si>
  <si>
    <t>23°32'28.0"S</t>
  </si>
  <si>
    <t xml:space="preserve"> 46°38'45.5"W</t>
  </si>
  <si>
    <t xml:space="preserve">23°32'38.0"S </t>
  </si>
  <si>
    <t>46°38'48.7"W</t>
  </si>
  <si>
    <t xml:space="preserve">23°32'42.0"S </t>
  </si>
  <si>
    <t>46°38'53.1"W</t>
  </si>
  <si>
    <t xml:space="preserve">23°33'05.2"S </t>
  </si>
  <si>
    <t>46°39'01.4"W</t>
  </si>
  <si>
    <t xml:space="preserve">23°33'05.4"S </t>
  </si>
  <si>
    <t>46°38'51.2"W</t>
  </si>
  <si>
    <t>23°33'05.8"S</t>
  </si>
  <si>
    <t xml:space="preserve"> 46°39'08.0"W</t>
  </si>
  <si>
    <t>23°33'07.5"S</t>
  </si>
  <si>
    <t xml:space="preserve"> 46°39'12.0"W</t>
  </si>
  <si>
    <t xml:space="preserve">23°33'05.7"S </t>
  </si>
  <si>
    <t>46°39'17.0"W</t>
  </si>
  <si>
    <t xml:space="preserve">23°33'13.7"S </t>
  </si>
  <si>
    <t>46°39'26.6"W</t>
  </si>
  <si>
    <t xml:space="preserve">23°33'11.5"S </t>
  </si>
  <si>
    <t>46°39'32.0"W</t>
  </si>
  <si>
    <t xml:space="preserve">23°32'56.7"S </t>
  </si>
  <si>
    <t>46°38'16.9"W</t>
  </si>
  <si>
    <t xml:space="preserve">23°32'09.8"S </t>
  </si>
  <si>
    <t>46°37'16.7"W</t>
  </si>
  <si>
    <t xml:space="preserve">23°31'25.4"S </t>
  </si>
  <si>
    <t>46°39'15.3"W</t>
  </si>
  <si>
    <t xml:space="preserve">23°32'14.1"S </t>
  </si>
  <si>
    <t>46°40'10.7"W</t>
  </si>
  <si>
    <t>46°38'39.4"W</t>
  </si>
  <si>
    <t xml:space="preserve">23°33'07.0"S </t>
  </si>
  <si>
    <t>46°39'28.2"W</t>
  </si>
  <si>
    <t xml:space="preserve">23°31'24.3"S </t>
  </si>
  <si>
    <t>46°39'58.9"W</t>
  </si>
  <si>
    <t xml:space="preserve">23°31'01.5"S </t>
  </si>
  <si>
    <t>46°41'18.8"W</t>
  </si>
  <si>
    <t xml:space="preserve">23°31'51.5"S </t>
  </si>
  <si>
    <t>46°39'43.4"W</t>
  </si>
  <si>
    <t xml:space="preserve">23°32'16.4"S </t>
  </si>
  <si>
    <t>46°39'03.7"W</t>
  </si>
  <si>
    <t>23°32'05.3"S</t>
  </si>
  <si>
    <t xml:space="preserve"> 46°38'59.3"W</t>
  </si>
  <si>
    <t>23°31'32.4"S</t>
  </si>
  <si>
    <t xml:space="preserve"> 46°38'04.0"W</t>
  </si>
  <si>
    <t xml:space="preserve">23°33'19.5"S </t>
  </si>
  <si>
    <t>46°39'22.5"W</t>
  </si>
  <si>
    <t>23°32'50.0"S</t>
  </si>
  <si>
    <t xml:space="preserve"> 46°38'26.3"W</t>
  </si>
  <si>
    <t xml:space="preserve">23°32'41.8"S </t>
  </si>
  <si>
    <t>46°38'28.9"W</t>
  </si>
  <si>
    <t>46°38'42.2"W</t>
  </si>
  <si>
    <t xml:space="preserve">23°32'23.7"S </t>
  </si>
  <si>
    <t>46°38'41.0"W</t>
  </si>
  <si>
    <t xml:space="preserve">23°32'10.6"S </t>
  </si>
  <si>
    <t>46°38'16.7"W</t>
  </si>
  <si>
    <t xml:space="preserve">23°31'56.5"S </t>
  </si>
  <si>
    <t>46°38'13.5"W</t>
  </si>
  <si>
    <t>23°32'24.0"S</t>
  </si>
  <si>
    <t xml:space="preserve"> 46°38'15.7"W</t>
  </si>
  <si>
    <t xml:space="preserve">23°32'28.2"S </t>
  </si>
  <si>
    <t>46°38'37.1"W</t>
  </si>
  <si>
    <t xml:space="preserve">23°32'32.7"S </t>
  </si>
  <si>
    <t>46°38'39.7"W</t>
  </si>
  <si>
    <t xml:space="preserve">23°32'32.6"S </t>
  </si>
  <si>
    <t>46°38'27.6"W</t>
  </si>
  <si>
    <t xml:space="preserve">23°31'43.1"S </t>
  </si>
  <si>
    <t>46°39'47.2"W</t>
  </si>
  <si>
    <t xml:space="preserve">23°32'41.3"S </t>
  </si>
  <si>
    <t>46°39'21.6"W</t>
  </si>
  <si>
    <t>23°32'42.3"S</t>
  </si>
  <si>
    <t xml:space="preserve"> 46°38'33.1"W</t>
  </si>
  <si>
    <t xml:space="preserve">23°32'49.2"S </t>
  </si>
  <si>
    <t>46°38'35.2"W</t>
  </si>
  <si>
    <t xml:space="preserve"> 46°38'43.4"W</t>
  </si>
  <si>
    <t xml:space="preserve">23°32'33.7"S </t>
  </si>
  <si>
    <t xml:space="preserve">23°32'53.8"S </t>
  </si>
  <si>
    <t>46°38'35.0"W</t>
  </si>
  <si>
    <t xml:space="preserve">23°33'01.6"S </t>
  </si>
  <si>
    <t>46°38'50.1"W</t>
  </si>
  <si>
    <t xml:space="preserve">23°33'09.5"S </t>
  </si>
  <si>
    <t>46°39'13.9"W</t>
  </si>
  <si>
    <t xml:space="preserve">23°33'13.1"S </t>
  </si>
  <si>
    <t>46°39'25.1"W</t>
  </si>
  <si>
    <t xml:space="preserve">23°31'59.7"S </t>
  </si>
  <si>
    <t>46°39'58.8"W</t>
  </si>
  <si>
    <t>46°39'37.5"W</t>
  </si>
  <si>
    <t>Categoria - Preço</t>
  </si>
  <si>
    <t>Custo-Benefício</t>
  </si>
  <si>
    <t>FAIXA-DISTÂNCIA</t>
  </si>
  <si>
    <t>Longitude</t>
  </si>
  <si>
    <t>R. FerNãodo de Albuquerque, 122, São Paulo, Brasil</t>
  </si>
  <si>
    <t>Bourbon Hotéis &amp; Resorts</t>
  </si>
  <si>
    <t>Fênix Hotéis</t>
  </si>
  <si>
    <t>SIm</t>
  </si>
  <si>
    <t>Wyndham Hotels &amp; Resorts</t>
  </si>
  <si>
    <t>Nacional Inn</t>
  </si>
  <si>
    <t>Grupo Ibérica Hotéis</t>
  </si>
  <si>
    <t>BS Hotéis (grupo Brazil Sales)</t>
  </si>
  <si>
    <t>Wi_fi</t>
  </si>
  <si>
    <t>Ar_condicionado</t>
  </si>
  <si>
    <t>Caf_manha</t>
  </si>
  <si>
    <t>Serviço_Quarto</t>
  </si>
  <si>
    <t>Aceita_Pets</t>
  </si>
  <si>
    <t>Wi-Fi, serviço de quarto 24h, estacionamento, restaurantes, elevador, ar condicionado, amenities de banheiro</t>
  </si>
  <si>
    <t>Wi-Fi</t>
  </si>
  <si>
    <t>Wi-Fi; estacionamento com manobrista; recepção 24h; serviço de quarto; lavanderia / limpeza a seco; restaurantes (2) e bar/lounge; centro de fitness/ginasio; salas de reuniões e de conferência; acomodações adaptadas / quartos para pessoas com deficiência; quartos anti‑alérgicos; ar condicionado; mini‑bar; banheira (em alguns quartos) etc.</t>
  </si>
  <si>
    <t>Wi-Fi, estacionamento, piscina ao ar livre sazonal, academia, restaurante / bar, serviço de quarto, lavanderia, recepção 24h, acesso para cadeirantes, etc</t>
  </si>
  <si>
    <t>Wi-Fi, café da manhã incluso, estacionamento com manobrista (R$ 40/dia), restaurante, bar/lounge, salas de eventos/events, lavanderia, academia / fitness</t>
  </si>
  <si>
    <t>Wi-Fi; restaurante “Dock” com cozinha internacional; bar/lounge; piscina externa; academia/fitness; sauna; serviço de quarto 24 h; estacionamento no local; aceitação de animais de estimação; salas de reunião / eventos; ar condicionado; quartos para não fumantes; boa localização.</t>
  </si>
  <si>
    <t>Wi-Fi; café da manhã estilo buffet; academia / fitness; elevador; ar condicionado; frigobar nos quartos; TV smart; minibar; recepção 24h; quartos com cofre; serviço de limpeza diário; espaço de trabalho nos quartos; algumas comodidades sustentáveis.</t>
  </si>
  <si>
    <t>Wi-Fi; estacionamento no local; restaurante; bar/lounge; serviço de quartos 24h; restaurante do tipo buffet ou continental; quartos para não fumantes; elevador; lavanderia; centro de negócios / salas de eventos; ar‑condicionado; mini frigobar nos quartos; recepção 24h</t>
  </si>
  <si>
    <t>Wi-Fi; estacionamento privativo no local; academia; restaurante; bar/lounge; serviço de quarto; recepção 24h; terraço; instalações para pessoas com deficiência; quartos para não fumantes; mini‑bar; controle de temperatura; algumas áreas sociais / lounge; spa / áreas de relaxamento; cochê educado etc.</t>
  </si>
  <si>
    <t>Wi-Fi; estacionamento privativo; café da manhã incluso; restaurante; serviços de quarto; recepção 24h</t>
  </si>
  <si>
    <t>Wi-Fi; café da manhã incluso; estacionamento (R$ 40/dia) com manobrista; restaurante; serviço de lavanderia; 6 salas de eventos; 100% não fumante; recepção 24h; centro de negócios</t>
  </si>
  <si>
    <t>Wi-fi gratuito, banheiro privativo, café da manhã, Ar-condicionado estacionamento, serviço de quarto, restaurante e bar.</t>
  </si>
  <si>
    <t>Wi-fi gratuito, café da manhã, Ar-condicionado, estacionamento, chuveiro aquecido a gás.</t>
  </si>
  <si>
    <t>Wi-fi gratuito, café da manhã, Ar-condicionado, estacionamento, fumódromo, serviço de quarto, banheiro privativo.</t>
  </si>
  <si>
    <t>Wi-fi gratuito, café da manhã, estacionamento, restaurante, Ar-condicionado, armazenamento de bagagens, serviço de quarto, spa</t>
  </si>
  <si>
    <t>Wi-fi gratuito, café da manhã, estacionamento, Ar-condicionado, quartos para familias, serviço de quarto, quarto para não fumantes</t>
  </si>
  <si>
    <t xml:space="preserve">Wi-fi gratuito, café da manhã, estacionamento, Ar-condicionado, quartos para familias, serviço de quarto, quarto para não fumantes, lavanderia </t>
  </si>
  <si>
    <t>Wi-fi gratuito, café da manhã, estacionamento, Ar-condicionado</t>
  </si>
  <si>
    <t>Wi-Fi gratuito, café da manhã, estacionamento, Ar-condicionado e proibido fumar</t>
  </si>
  <si>
    <t>Wi-Fi gratuito, café da manhã, Ar-condicionado e proibido fumar</t>
  </si>
  <si>
    <t>Wi-Fi gratuito, café da manhã, estacionamento, Ar-condicionado, proibido fumar,  premite animais, ideal para crianças, restaurante, spa, Instalações para pessoas com deficiência</t>
  </si>
  <si>
    <t>Wi-Fi; piscina interna; academia / ginásio; sauna (seca / vapor) Kitchenette / cozinha americana nos apartamentos; varanda; Ar-condicionado; elevador; jardim; estacionamento com manobrista (taxa)</t>
  </si>
  <si>
    <t>Wi-Fi; Ar-condicionado; frigobar; café da manhã incluído; recepção 24h; quartos para não fumantes; banheiro privativo; frigobar nos quartos; limpeza diferenciada; ambiente simples; estacionamento gratuito</t>
  </si>
  <si>
    <t>Wi-fi gratuito,café da manhã, estacionamento, acessível, ar condicionado, ideal para crianças e restaurante</t>
  </si>
  <si>
    <t>Wi-Fi gratuito, café da manhã, Proibido fumar, Ar-condicionado, Elevador</t>
  </si>
  <si>
    <t>Wi-Fi gratuito, café da manhã, Proibido fumar, Elevador</t>
  </si>
  <si>
    <t>Wifi,café da manhã, Ar condicionado,  Ideal para ciranças</t>
  </si>
  <si>
    <t>Wifi,café da manhã, Não oferece estacionamento, Ar condicionado,  Ideal para ciranças</t>
  </si>
  <si>
    <t>Wifi,café da manhã, Estacinamento, Ar condicionado, ideal para ciranças, Bar, Serviço lavanderia.</t>
  </si>
  <si>
    <t>Wifi,café da manhã, Estacinamento, Ar condicionado, Quarto para famílias</t>
  </si>
  <si>
    <t>Wifi,café da manhã,</t>
  </si>
  <si>
    <t>Wifi,café da manhã, Ar condicionado,  Ideal para ciranças,</t>
  </si>
  <si>
    <t>Wifi,café da manhã,  Ar condicionado, Lavanderia, Ideal para ciranças,</t>
  </si>
  <si>
    <t>Wifi,café da manhã, Ar condicionado, Ideal para criança</t>
  </si>
  <si>
    <t>Wifi,café da manhã, Ar condicionado</t>
  </si>
  <si>
    <t>Wi-Fi gratuito, café da manhã, Ar-condicionado, Ideal para crianças, Proibido fumar, Elevador</t>
  </si>
  <si>
    <t>estacionamento</t>
  </si>
  <si>
    <t>Wi-Fi gratuito, café da manhã, Ideal para crianças, Proibido fumar, estacionamento, Lavanderia, Jardim</t>
  </si>
  <si>
    <t>Wi-Fi gratuito em todos os ambientes
café da manhã estilo buffet incluso na diária
estacionamento com manobrista (R$ 50,00/dia)
Ar-condicionado
Frigobar
TV a cabo
Cortinas blackout
Cofre
Escrivaninha
Serviço de lavanderia
Quartos para não fumantes
Suítes
Acessibilidade para pessoas com deficiência
Idiomas falados: português, inglês e espanhol</t>
  </si>
  <si>
    <t>Wi-Fi gratuito
estacionamento privativo (pago à parte)
Ar-condicionado
Frigobar
TV de tela plana com canais a cabo
Mesa de trabalho
café da manhã estilo buffet
Elevador
Quartos para não fumantes
Instalações para pessoas com deficiência
Serviço de limpeza diário
Business center e salas de reunião</t>
  </si>
  <si>
    <t>Wifi,café da manhã, estacionamento</t>
  </si>
  <si>
    <t>Wifi,café da manhã, estacionamento, Ar condicionado, Bar, Lavanderia, Ideal para criança</t>
  </si>
  <si>
    <t>Wifi,café da manhã, estacionamento, Bar, Ar condicionado, Ideal para criança</t>
  </si>
  <si>
    <t>Wifi,café da manhã, estacionamento, Lavanderia, Ar condicionado, Ideal para criança</t>
  </si>
  <si>
    <t>Wifi, Ar condicionado, estacionamento, Terraço coberto, Bar, Ideal para crianças</t>
  </si>
  <si>
    <t>Wifi, Ar condicionado, estacionamento, Ideal para criança</t>
  </si>
  <si>
    <t>Wifi, estacionamento, Ar-condicionado, Quartos para famílias, Acessibilidade, café da manhã</t>
  </si>
  <si>
    <t xml:space="preserve">estacionamento, Instalações para pessoas com deficiência, serviço de quarto, Wi-Fi gratuito, Quartos para famílias, Elevador, Ar-condicionado, Lavanderia, café da manhã
</t>
  </si>
  <si>
    <t>Wi-Fi gratuito, serviço de quarto, Ideal para crianças café da manhã</t>
  </si>
  <si>
    <t>Wi-Fi gratuito, café da manhã, Ar-condicionado, proibido fumar, serviço de quarto, ideal para crianças</t>
  </si>
  <si>
    <t>Wi-fi gratuito, café da manhã, Ar-condicionado, Ideal para crianças, serviço de quarto, Proibido fumar</t>
  </si>
  <si>
    <t xml:space="preserve">Wi-Fi gratuito, serviço de quarto, Proibido fumar e Ideal para crianças </t>
  </si>
  <si>
    <t>Wi-Fi, estacionamento, Proibido fumar, Elevador, serviço de quarto, Ideal para crianças</t>
  </si>
  <si>
    <t>Wi-Fi gratuito, Ar-condicionado, Proibido fumar, serviço de quarto</t>
  </si>
  <si>
    <t>Wi-fi gratuito, café da manhã, Ar-condicionado, serviço de quarto, Área para fumantes, Ideal para crianças, Elevador</t>
  </si>
  <si>
    <t>Wi-fi gratuito, café da manhã, estacionamento, Ar-condicionado, serviço de quarto, Proibido fumar, Ideal para crianças</t>
  </si>
  <si>
    <t>Wi-Fi gratuito, Proibido fumar, Ar-condicionado, Ideal para crianças, serviço de quarto</t>
  </si>
  <si>
    <t>Wi-Fi gratuito, café da manhã, Ideal para crianças, Área para fumantes, serviço de quarto</t>
  </si>
  <si>
    <t>Wi-Fi gratuito, café da manhã, estacionamento, Proibido fumar, Bar, serviço de quarto</t>
  </si>
  <si>
    <t>Wi-Fi gratuito, café da manhã, Proibido fumar, Bar, serviço de quarto, Ar-condicionado</t>
  </si>
  <si>
    <t>Wi-Fi gratuito, serviço de quarto</t>
  </si>
  <si>
    <t>café da manhã. Wi-Fi Ar-condicionado nos quartos. TV de tela plana nos quartos. Frigobar nos quartos. Serviço de limpeza diário. serviço de quarto. Banheiro privativo nos quartos. Quartos para alérgicos disponíveis</t>
  </si>
  <si>
    <t>Wi-Fi gratuito
café da manhã estilo buffet incluso
Ar-condicionado
TV de tela plana de 42"
Frigobar
Kit higiênico
Cofre
Jardim privativo
Terraço ensolarado
Sala de lazer com TV
estacionamento conveniado (R$ 20/dia)
Segurança 24h
serviço de quarto
Serviço de compras
Hotel para não fumantes</t>
  </si>
  <si>
    <t>Wifi,café da manhã, Ar condicionado,  Ideal para ciranças, serviço de quarto, Trasnfer para o aeroporto</t>
  </si>
  <si>
    <t>Wifi,café da manhã, estacionamento privativo pago, Ar condicionado, serviço de quarto, Ideal para ciranças,</t>
  </si>
  <si>
    <t>Wifi,café da manhã, Ar condicionado, serviço de quarto, estacionamento, Terraço coberto, Ideal para criança</t>
  </si>
  <si>
    <t>Wifi,café da manhã, Ar condicionado, serviço de quarto, Lavanderia, Ideal para criança</t>
  </si>
  <si>
    <t>Wifi,café da manhã, Ar condicionado, serviço de quarto,</t>
  </si>
  <si>
    <t>Wifi, Ar condicionado, serviço de quarto, Ideal para criança acima de 06 anos</t>
  </si>
  <si>
    <t>Wifi, Ar condicionado, serviço de quarto, estacionamento, Lounge para relaxamento, Vista, Ideal para criança</t>
  </si>
  <si>
    <t>Wifi, Ar condicionado, serviço de quarto, estacionamento, Cozinha, Vista, Serviço de Transfer, Ideal para criança</t>
  </si>
  <si>
    <t>Wifi, estacionamento, Ar-condicionado, Quartos para famílias, serviço de quarto</t>
  </si>
  <si>
    <t xml:space="preserve">Wifi, Ar-condicionado, Quartos para famílias, café da manhã, serviço de quarto, </t>
  </si>
  <si>
    <t>Wi-Fi gratuito, café da manhã, estacionamento, Ar-condicionado, serviço de quarto, ideal para crianças, restaurante, bar</t>
  </si>
  <si>
    <t>Wi-Fi gratuito, estacionamento, seviço de quarto, Proibido Fumar, Ideal para crianças, Ar-condicionado, Elevador</t>
  </si>
  <si>
    <t>Quartos básicos com Ar-condicionado e TV de tela plana. Wi-Fi nos quartos. Cofre nos quartos. Frigobar nos quartos. Serviço de limpeza e de quarto. Banheiros privativos. serviço de segurança</t>
  </si>
  <si>
    <t>restaurante_Bar</t>
  </si>
  <si>
    <t>Wi-Fi gratuito, café da manhã, restaurante, Ideal para crianças, Proibido fumar, Elevador, serviço de quarto</t>
  </si>
  <si>
    <t>Wifi,café da manhã, estacionamento, Ar condicionado,  Ideal para ciranças, restaurante</t>
  </si>
  <si>
    <t>Wifi,café da manhã, Ar condicionado,  restaurante, Bar, Ideal para ciranças,</t>
  </si>
  <si>
    <t>Wifi,café da manhã, estacionamento, Ar condicionado, restaurante, serviço de quarto, Ideal para criança</t>
  </si>
  <si>
    <t>Wifi,café da manhã, estacionamento, Bar, restaurante, serviço de quarto, Ar condicionado, Ideal para criança</t>
  </si>
  <si>
    <t>restaurante no local; café da manhã; Wi-Fi; estacionamento</t>
  </si>
  <si>
    <t>academia</t>
  </si>
  <si>
    <t>Wifi,café da manhã, Estacinamento pago, Piscina interna e externa,Ar-condicionado, Serviço de lavanderia, serviço de quarto, Ideal para ciranças, restaurante, Cozinha em todos os quarto, academia, Bar.</t>
  </si>
  <si>
    <t>Wifi,café da manhã, Estacinamento, Piscina coberta, Acessível, Ar-condicionado, Serviço de lavanderia, serviço de quarto, Ideal para ciranças, restaurante, Cozinha em todos os quarto, academia, Bar.</t>
  </si>
  <si>
    <t>Wifi,café da manhã, Estacinamento pago, Acessível, Ar condicionado,  Ideal para ciranças, restaurante, academia, Bar.</t>
  </si>
  <si>
    <t>Wifi,café da manhã, Estacinamento, Ar condicionado, academia, Piscina, Cozinha em alguns quartos, ideal para ciranças, restaurante.</t>
  </si>
  <si>
    <t>Wifi,café da manhã, estacionamento, Acessível,  restaurante, Bar, academia, Ideal para criança</t>
  </si>
  <si>
    <t>Wifi,café da manhã, estacionamento,  serviço de quarto, academia, Ideal para criança</t>
  </si>
  <si>
    <t>Wifi, Ar condicionado, Acessível, estacionamento, Lavanderia, academia, serviço de quarto, restaurante, Bar, Banheira quente, Ideal para criança</t>
  </si>
  <si>
    <t>Wifi, Ar condicionado, estacionamento, Cozinha, academia, restaurante, Bar, Piscina, Ideal para criança</t>
  </si>
  <si>
    <t>Wifi, café da manhã, estacionamento, Acessível, Serviço de lavanderia, Centro de reuniões, serviço de quarto, Ar condicionado, estacionamento, academia, restaurante, Bar, Piscina, Ideal para criança</t>
  </si>
  <si>
    <t>Wifi, Ar-condicionado, Quartos para famílias, Acessibilidade, café da manhã, serviço de quarto, academia</t>
  </si>
  <si>
    <t>piscina</t>
  </si>
  <si>
    <t>Wi‑Fi grátis, café da manhã, restaurante (“Alcazar Restaurante”), estacionamento com manobrista, lavanderia / serviço de limpeza, cofre individual nos quartos, salas de convenção para até 80 pessoas</t>
  </si>
  <si>
    <t>Wi-Fi gratuito, Proibido fumar, estacionamento, Ar-condicionado, Ideal para crianças, acessível, Elevador, serviço de quarto</t>
  </si>
  <si>
    <t>Wi-Fi gratuito, Proibido fumar, acessível, Ar-condicionado</t>
  </si>
  <si>
    <t xml:space="preserve">estacionamento, acessível, serviço de quarto, Wi-Fi gratuito, Quartos para famílias, Elevador, Ar-condicionado, Lavanderia, café da manhã
</t>
  </si>
  <si>
    <t>Wi-Fi gratuito, Proibido fumar, estacionamento, Ar-condicionado, Ideal para crianças, acessível, Elevador, serviço de quarto, restaurante, Bar</t>
  </si>
  <si>
    <t>Wifi,café da manhã, Estacinamento pago, acessível, Ar-condicionado, Serviço de lavanderia, Ideal para ciranças.</t>
  </si>
  <si>
    <t>Wifi,café da manhã, estacionamento pago, acessível, Ar condicionado,  Ideal para ciranças</t>
  </si>
  <si>
    <t>Wifi,café da manhã, Estacinamento, acessível, Ar-condicionado, Serviço de lavanderia,  restaurante, Bar.</t>
  </si>
  <si>
    <t>Wifi,café da manhã, estacionamento, acessível,  restaurante,</t>
  </si>
  <si>
    <t>Wifi,café da manhã, Ar condicionado,  acessível, serviço de quarto, Ideal para ciranças,</t>
  </si>
  <si>
    <t>Wifi,café da manhã, estacionamento, Ar condicionado, acessível, Lavanderia, Ideal para criança</t>
  </si>
  <si>
    <t>Wifi,café da manhã, estacionamento, acessível, serviço de quarto, Lavenderia, Ideal para criança, Ar condicionado</t>
  </si>
  <si>
    <t>Wifi,café da manhã, Ar condicionado, acessível, Ideal para criança</t>
  </si>
  <si>
    <t>Wifi,café da manhã, Ar condicionado, serviço de quarto, acessível, Ideal para criança</t>
  </si>
  <si>
    <t>Wifi,café da manhã, Ar condicionado, acessível, Lavenderia, estacionamento, Ideal para criança</t>
  </si>
  <si>
    <t>Wifi, Ar condicionado, acessível. Ideal para criança</t>
  </si>
  <si>
    <t>Wifi, Ar condicionado, serviço de quarto, estacionamento pago, acessível, piscina Externa, Centro de Reuniões, restaurante, Cozinha em alguns quartos, Ideal para criança</t>
  </si>
  <si>
    <t>Wifi, Ar condicionado, acessível, estacionamento, Ideal para criança</t>
  </si>
  <si>
    <t>Wifi, Ar condicionado, acessível, Lavanderia, estacionamento, Ideal para criança</t>
  </si>
  <si>
    <t>Wifi, Ar-condicionado, Quartos para famílias, Cozinha compartilhada, Terraço, Churrasqueira, acessível</t>
  </si>
  <si>
    <t>acessível_PCD</t>
  </si>
  <si>
    <t>Wi-Fi gratuito, café da manhã, Ideal para crianças, Proibido fumar, Ar-condicionado, acessível, Bar</t>
  </si>
  <si>
    <t>Wi-Fi gratuito, Ideal para crianças, Proibido fumar, Ar-condicionado, acessível, Bar, Lavanderia</t>
  </si>
  <si>
    <t>Wi-Fi, restaurante, bar, recepção 24h, estacionamento privado, serviço de quarto, acessível, café da manhã buffet</t>
  </si>
  <si>
    <t>Wi-Fi; ar‑condicionado; frigobar; TV a cabo / LCD; mini‑bar; cortinas blackout; acessível; estacionamento; restaurante no local; centro de convenções / salas de evento; lavanderia; recepção 24h; depósito de bagagens; quartos anti‑alérgicos; elevador; serviço de limpeza.</t>
  </si>
  <si>
    <t>Não aceita pet</t>
  </si>
  <si>
    <t>Não aceita pet, mas animais de serviço são aceitos</t>
  </si>
  <si>
    <t xml:space="preserve">aceita pet (custo adicional) </t>
  </si>
  <si>
    <t>aceita pet</t>
  </si>
  <si>
    <t>aceita pet (isenção de taxas para cães-guia)</t>
  </si>
  <si>
    <t>Rede Andrade aceita pet</t>
  </si>
  <si>
    <t>Categorizar_Custo-Benefício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</si>
</sst>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[$R$-416]\ * #,##0.00_-;\-[$R$-416]\ * #,##0.00_-;_-[$R$-416]\ * &quot;-&quot;??_-;_-@_-"/>
    <numFmt numFmtId="165" formatCode="#,000,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4"/>
      <color theme="1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8" xfId="0" applyFont="1" applyBorder="1" applyAlignment="1">
      <alignment horizontal="center"/>
    </xf>
    <xf numFmtId="3" fontId="0" fillId="0" borderId="8" xfId="0" applyNumberFormat="1" applyFont="1" applyBorder="1" applyAlignment="1">
      <alignment horizont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/>
    <xf numFmtId="2" fontId="1" fillId="0" borderId="5" xfId="0" applyNumberFormat="1" applyFont="1" applyBorder="1" applyAlignment="1">
      <alignment horizontal="center" vertical="top"/>
    </xf>
    <xf numFmtId="2" fontId="0" fillId="0" borderId="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5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2" fontId="1" fillId="0" borderId="5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2" xfId="0" applyFont="1" applyBorder="1"/>
    <xf numFmtId="0" fontId="3" fillId="0" borderId="1" xfId="0" applyFont="1" applyBorder="1"/>
    <xf numFmtId="0" fontId="4" fillId="0" borderId="0" xfId="0" applyFont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3" xfId="0" applyFont="1" applyBorder="1"/>
    <xf numFmtId="0" fontId="3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9"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auto="1"/>
        </left>
        <right/>
        <top style="medium">
          <color auto="1"/>
        </top>
        <bottom style="medium">
          <color auto="1"/>
        </bottom>
        <vertical/>
        <horizontal/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border diagonalUp="0" diagonalDown="0">
        <left/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border outline="0">
        <bottom style="medium">
          <color auto="1"/>
        </bottom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AI137" totalsRowShown="0" headerRowDxfId="15" dataDxfId="16" headerRowBorderDxfId="37" tableBorderDxfId="38">
  <autoFilter ref="A1:AI137">
    <filterColumn colId="25">
      <filters>
        <filter val="0"/>
      </filters>
    </filterColumn>
  </autoFilter>
  <tableColumns count="35">
    <tableColumn id="1" name="Nome do Hotel" dataDxfId="36"/>
    <tableColumn id="2" name="Endereço" dataDxfId="35"/>
    <tableColumn id="3" name="Bairro" dataDxfId="34"/>
    <tableColumn id="4" name="Latitude" dataDxfId="33"/>
    <tableColumn id="5" name="Longitude" dataDxfId="32"/>
    <tableColumn id="6" name="Distância da Faculdade (km)" dataDxfId="31"/>
    <tableColumn id="7" name="FAIXA-DISTÂNCIA" dataDxfId="30">
      <calculatedColumnFormula>IF(F2&lt;1,"Até 1km",IF(F2&lt;2,"1-2km","2-3km"))</calculatedColumnFormula>
    </tableColumn>
    <tableColumn id="8" name="Tipo de Hospedagem" dataDxfId="29"/>
    <tableColumn id="9" name="Nº de Quartos/Unidades" dataDxfId="28"/>
    <tableColumn id="10" name="Preço Médio da Diária (R$)" dataDxfId="27"/>
    <tableColumn id="11" name="Categoria - Preço" dataDxfId="26">
      <calculatedColumnFormula>IF(J2&lt;200,"Econômico", IF(J2&lt;400,"Médio", "Alto"))</calculatedColumnFormula>
    </tableColumn>
    <tableColumn id="12" name="Horário de Atendimento" dataDxfId="25"/>
    <tableColumn id="13" name="Check-in" dataDxfId="24"/>
    <tableColumn id="14" name="Check-out" dataDxfId="23"/>
    <tableColumn id="15" name="Avaliação Média (0-5)" dataDxfId="22"/>
    <tableColumn id="16" name="Custo-Benefício" dataDxfId="14">
      <calculatedColumnFormula>(Tabela1[Avaliação Média (0-5)] * 20) / Tabela1[Preço Médio da Diária (R$)] * 10</calculatedColumnFormula>
    </tableColumn>
    <tableColumn id="38" name="Categorizar_Custo-Benefício" dataDxfId="0">
      <calculatedColumnFormula>IF(P2&lt;=2,"Baixo",IF(P2&lt;=4,"Regular",IF(P2&lt;=6,"Bom","Excelente")))</calculatedColumnFormula>
    </tableColumn>
    <tableColumn id="17" name="Quantas estrelas" dataDxfId="21"/>
    <tableColumn id="18" name="Principais Comodidades" dataDxfId="11"/>
    <tableColumn id="30" name="Wi_fi" dataDxfId="10">
      <calculatedColumnFormula>IF(OR(ISNUMBER(FIND("Wi-fi",S2)), ISNUMBER(FIND("Wi-Fi",S2)), ISNUMBER(FIND("Wifi",S2))), 1, 0)</calculatedColumnFormula>
    </tableColumn>
    <tableColumn id="31" name="Ar_condicionado" dataDxfId="9">
      <calculatedColumnFormula>IF(OR(ISNUMBER(FIND("Ar condicionado",S2)), ISNUMBER(FIND("Ar-condicionado",S2)), ISNUMBER(FIND("ar cond",S2))), 1, 0)</calculatedColumnFormula>
    </tableColumn>
    <tableColumn id="32" name="Caf_manha" dataDxfId="8">
      <calculatedColumnFormula>IF(OR(ISNUMBER(FIND("café da manhã",S2)), ISNUMBER(FIND("café da manha",O2)), ISNUMBER(FIND("cafe da manha",S2)), ISNUMBER(FIND("café da amanhã incluído",S2))), 1, 0)</calculatedColumnFormula>
    </tableColumn>
    <tableColumn id="33" name="estacionamento" dataDxfId="7">
      <calculatedColumnFormula>IF(OR(ISNUMBER(FIND("estacionamento",S2)),ISNUMBER(FIND("estaciona",S2))), 1, 0)</calculatedColumnFormula>
    </tableColumn>
    <tableColumn id="28" name="Serviço_Quarto" dataDxfId="6">
      <calculatedColumnFormula>IF(OR(ISNUMBER(FIND("serviço de quarto",S2)), ISNUMBER(FIND("servico de quarto",O2)), ISNUMBER(FIND("room service",S2))), 1, 0)</calculatedColumnFormula>
    </tableColumn>
    <tableColumn id="29" name="restaurante_Bar" dataDxfId="5">
      <calculatedColumnFormula>IF(OR(ISNUMBER(FIND("restaurante",S2)), ISNUMBER(FIND("bar",S2))), 1, 0)</calculatedColumnFormula>
    </tableColumn>
    <tableColumn id="27" name="academia" dataDxfId="4">
      <calculatedColumnFormula>IF(OR(ISNUMBER(FIND("academia",S2)), ISNUMBER(FIND("fitness",S2)), ISNUMBER(FIND("ginásio",S2))), 1, 0)</calculatedColumnFormula>
    </tableColumn>
    <tableColumn id="34" name="piscina" dataDxfId="3">
      <calculatedColumnFormula>IF(ISNUMBER(FIND("piscina",S2)), 1, 0)</calculatedColumnFormula>
    </tableColumn>
    <tableColumn id="36" name="acessível_PCD" dataDxfId="2">
      <calculatedColumnFormula>IF(OR(ISNUMBER(FIND("acessível",S2)),ISNUMBER(FIND("deficiência",S2)), ISNUMBER(FIND("cadeirante",S2)), ISNUMBER(FIND("PCD",S2))), 1, 0)</calculatedColumnFormula>
    </tableColumn>
    <tableColumn id="37" name="Aceita_Pets" dataDxfId="1">
      <calculatedColumnFormula>IF(OR(ISNUMBER(FIND("aceita pet",AG2)), ISNUMBER(FIND("permite pet",O2)), ISNUMBER(FIND("animais",AG2)), ISNUMBER(FIND("pet friendly",AG2))), 1, 0)</calculatedColumnFormula>
    </tableColumn>
    <tableColumn id="19" name="Forma de Reserva" dataDxfId="12"/>
    <tableColumn id="20" name="Formas de Pagamento" dataDxfId="13"/>
    <tableColumn id="21" name="Tipo de Hóspede (Perfil)" dataDxfId="20"/>
    <tableColumn id="22" name="Observações" dataDxfId="19"/>
    <tableColumn id="23" name="Pertence_Rede (Sim/Não)" dataDxfId="18"/>
    <tableColumn id="24" name="Rede_Hoteleira (texto)" dataDxfId="1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37"/>
  <sheetViews>
    <sheetView tabSelected="1" zoomScale="80" zoomScaleNormal="80" workbookViewId="0"/>
  </sheetViews>
  <sheetFormatPr defaultRowHeight="14.5" x14ac:dyDescent="0.35"/>
  <cols>
    <col min="1" max="1" width="41.453125" bestFit="1" customWidth="1"/>
    <col min="2" max="2" width="57" customWidth="1"/>
    <col min="3" max="3" width="29" customWidth="1"/>
    <col min="4" max="4" width="19.26953125" style="5" customWidth="1"/>
    <col min="5" max="5" width="19.36328125" style="5" customWidth="1"/>
    <col min="6" max="6" width="29.7265625" style="7" customWidth="1"/>
    <col min="7" max="7" width="18.453125" style="7" customWidth="1"/>
    <col min="8" max="8" width="22.7265625" style="10" customWidth="1"/>
    <col min="9" max="9" width="25.1796875" style="10" customWidth="1"/>
    <col min="10" max="10" width="29.26953125" style="11" customWidth="1"/>
    <col min="11" max="11" width="24.1796875" style="11" customWidth="1"/>
    <col min="12" max="12" width="24.81640625" style="10" customWidth="1"/>
    <col min="13" max="13" width="13.08984375" style="10" bestFit="1" customWidth="1"/>
    <col min="14" max="14" width="12.6328125" style="10" bestFit="1" customWidth="1"/>
    <col min="15" max="15" width="20.36328125" style="10" customWidth="1"/>
    <col min="16" max="16" width="20" style="30" customWidth="1"/>
    <col min="17" max="17" width="22.6328125" style="37" customWidth="1"/>
    <col min="18" max="18" width="18.6328125" style="10" customWidth="1"/>
    <col min="19" max="19" width="129.54296875" style="34" customWidth="1"/>
    <col min="20" max="20" width="15.453125" style="10" customWidth="1"/>
    <col min="21" max="21" width="16.08984375" style="34" customWidth="1"/>
    <col min="22" max="22" width="14.08984375" style="34" customWidth="1"/>
    <col min="23" max="23" width="13.6328125" style="34" customWidth="1"/>
    <col min="24" max="24" width="18.08984375" style="10" customWidth="1"/>
    <col min="25" max="25" width="15" style="10" bestFit="1" customWidth="1"/>
    <col min="26" max="26" width="20.90625" style="10" customWidth="1"/>
    <col min="27" max="27" width="21.54296875" style="10" customWidth="1"/>
    <col min="28" max="28" width="24.54296875" style="10" customWidth="1"/>
    <col min="29" max="29" width="20.54296875" style="10" customWidth="1"/>
    <col min="30" max="30" width="36.08984375" style="10" customWidth="1"/>
    <col min="31" max="31" width="38.6328125" style="10" customWidth="1"/>
    <col min="32" max="32" width="61.6328125" style="10" customWidth="1"/>
    <col min="33" max="33" width="44.90625" style="10" bestFit="1" customWidth="1"/>
    <col min="34" max="34" width="26.6328125" customWidth="1"/>
    <col min="35" max="35" width="23.6328125" bestFit="1" customWidth="1"/>
  </cols>
  <sheetData>
    <row r="1" spans="1:35" ht="15" thickBot="1" x14ac:dyDescent="0.4">
      <c r="A1" s="14" t="s">
        <v>0</v>
      </c>
      <c r="B1" s="15" t="s">
        <v>1</v>
      </c>
      <c r="C1" s="15" t="s">
        <v>2</v>
      </c>
      <c r="D1" s="15" t="s">
        <v>662</v>
      </c>
      <c r="E1" s="15" t="s">
        <v>930</v>
      </c>
      <c r="F1" s="16" t="s">
        <v>3</v>
      </c>
      <c r="G1" s="16" t="s">
        <v>929</v>
      </c>
      <c r="H1" s="15" t="s">
        <v>4</v>
      </c>
      <c r="I1" s="15" t="s">
        <v>5</v>
      </c>
      <c r="J1" s="17" t="s">
        <v>6</v>
      </c>
      <c r="K1" s="17" t="s">
        <v>927</v>
      </c>
      <c r="L1" s="15" t="s">
        <v>7</v>
      </c>
      <c r="M1" s="15" t="s">
        <v>8</v>
      </c>
      <c r="N1" s="15" t="s">
        <v>9</v>
      </c>
      <c r="O1" s="15" t="s">
        <v>10</v>
      </c>
      <c r="P1" s="27" t="s">
        <v>928</v>
      </c>
      <c r="Q1" s="36" t="s">
        <v>1070</v>
      </c>
      <c r="R1" s="15" t="s">
        <v>11</v>
      </c>
      <c r="S1" s="33" t="s">
        <v>12</v>
      </c>
      <c r="T1" s="15" t="s">
        <v>939</v>
      </c>
      <c r="U1" s="33" t="s">
        <v>940</v>
      </c>
      <c r="V1" s="33" t="s">
        <v>941</v>
      </c>
      <c r="W1" s="33" t="s">
        <v>980</v>
      </c>
      <c r="X1" s="15" t="s">
        <v>942</v>
      </c>
      <c r="Y1" s="15" t="s">
        <v>1020</v>
      </c>
      <c r="Z1" s="15" t="s">
        <v>1027</v>
      </c>
      <c r="AA1" s="15" t="s">
        <v>1038</v>
      </c>
      <c r="AB1" s="15" t="s">
        <v>1059</v>
      </c>
      <c r="AC1" s="15" t="s">
        <v>943</v>
      </c>
      <c r="AD1" s="15" t="s">
        <v>13</v>
      </c>
      <c r="AE1" s="15" t="s">
        <v>14</v>
      </c>
      <c r="AF1" s="15" t="s">
        <v>15</v>
      </c>
      <c r="AG1" s="15" t="s">
        <v>16</v>
      </c>
      <c r="AH1" s="15" t="s">
        <v>17</v>
      </c>
      <c r="AI1" s="18" t="s">
        <v>18</v>
      </c>
    </row>
    <row r="2" spans="1:35" ht="18" thickBot="1" x14ac:dyDescent="0.4">
      <c r="A2" s="38" t="s">
        <v>19</v>
      </c>
      <c r="B2" s="39" t="s">
        <v>154</v>
      </c>
      <c r="C2" s="39" t="s">
        <v>178</v>
      </c>
      <c r="D2" s="40" t="s">
        <v>664</v>
      </c>
      <c r="E2" s="41" t="s">
        <v>663</v>
      </c>
      <c r="F2" s="42">
        <v>0.37372000000000011</v>
      </c>
      <c r="G2" s="42" t="str">
        <f>IF(F2&lt;1,"Até 1km",IF(F2&lt;2,"1-2km","2-3km"))</f>
        <v>Até 1km</v>
      </c>
      <c r="H2" s="43" t="s">
        <v>211</v>
      </c>
      <c r="I2" s="43">
        <v>19</v>
      </c>
      <c r="J2" s="44">
        <v>198.33</v>
      </c>
      <c r="K2" s="44" t="str">
        <f>IF(J2&lt;200,"Econômico", IF(J2&lt;400,"Médio", "Alto"))</f>
        <v>Econômico</v>
      </c>
      <c r="L2" s="43" t="s">
        <v>215</v>
      </c>
      <c r="M2" s="43" t="s">
        <v>218</v>
      </c>
      <c r="N2" s="43" t="s">
        <v>220</v>
      </c>
      <c r="O2" s="43">
        <v>3.8</v>
      </c>
      <c r="P2" s="45">
        <f>(Tabela1[Avaliação Média (0-5)] * 20) / Tabela1[Preço Médio da Diária (R$)] * 10</f>
        <v>3.8319971764231333</v>
      </c>
      <c r="Q2" s="42" t="str">
        <f t="shared" ref="Q2:Q33" si="0">IF(P2&lt;=2,"Baixo",IF(P2&lt;=4,"Regular",IF(P2&lt;=6,"Bom","Excelente")))</f>
        <v>Regular</v>
      </c>
      <c r="R2" s="43">
        <v>2</v>
      </c>
      <c r="S2" s="46" t="s">
        <v>955</v>
      </c>
      <c r="T2" s="47">
        <f t="shared" ref="T2:T33" si="1">IF(OR(ISNUMBER(FIND("Wi-fi",S2)), ISNUMBER(FIND("Wi-Fi",S2)), ISNUMBER(FIND("Wifi",S2))), 1, 0)</f>
        <v>1</v>
      </c>
      <c r="U2" s="46">
        <f t="shared" ref="U2:U33" si="2">IF(OR(ISNUMBER(FIND("Ar condicionado",S2)), ISNUMBER(FIND("Ar-condicionado",S2)), ISNUMBER(FIND("ar cond",S2))), 1, 0)</f>
        <v>1</v>
      </c>
      <c r="V2" s="46">
        <f>IF(OR(ISNUMBER(FIND("café da manhã",S2)), ISNUMBER(FIND("café da manha",O2)), ISNUMBER(FIND("cafe da manha",S2)), ISNUMBER(FIND("café da amanhã incluído",S2))), 1, 0)</f>
        <v>1</v>
      </c>
      <c r="W2" s="46">
        <f t="shared" ref="W2:W17" si="3">IF(OR(ISNUMBER(FIND("estacionamento",S2)),ISNUMBER(FIND("estaciona",S2))), 1, 0)</f>
        <v>1</v>
      </c>
      <c r="X2" s="43">
        <f>IF(OR(ISNUMBER(FIND("serviço de quarto",S2)), ISNUMBER(FIND("servico de quarto",O2)), ISNUMBER(FIND("room service",S2))), 1, 0)</f>
        <v>1</v>
      </c>
      <c r="Y2" s="43">
        <f t="shared" ref="Y2:Y17" si="4">IF(OR(ISNUMBER(FIND("restaurante",S2)), ISNUMBER(FIND("bar",S2))), 1, 0)</f>
        <v>1</v>
      </c>
      <c r="Z2" s="43">
        <f>IF(OR(ISNUMBER(FIND("academia",S2)), ISNUMBER(FIND("fitness",S2)), ISNUMBER(FIND("ginásio",S2))), 1, 0)</f>
        <v>0</v>
      </c>
      <c r="AA2" s="43">
        <f>IF(ISNUMBER(FIND("piscina",S2)), 1, 0)</f>
        <v>0</v>
      </c>
      <c r="AB2" s="43">
        <f>IF(OR(ISNUMBER(FIND("acessível",S2)),ISNUMBER(FIND("deficiência",S2)), ISNUMBER(FIND("cadeirante",S2)), ISNUMBER(FIND("PCD",S2))), 1, 0)</f>
        <v>0</v>
      </c>
      <c r="AC2" s="43">
        <f t="shared" ref="AC2:AC33" si="5">IF(OR(ISNUMBER(FIND("aceita pet",AG2)), ISNUMBER(FIND("permite pet",O2)), ISNUMBER(FIND("animais",AG2)), ISNUMBER(FIND("pet friendly",AG2))), 1, 0)</f>
        <v>1</v>
      </c>
      <c r="AD2" s="46" t="s">
        <v>248</v>
      </c>
      <c r="AE2" s="43" t="s">
        <v>383</v>
      </c>
      <c r="AF2" s="43" t="s">
        <v>458</v>
      </c>
      <c r="AG2" s="43" t="s">
        <v>1064</v>
      </c>
      <c r="AH2" s="39" t="s">
        <v>527</v>
      </c>
      <c r="AI2" s="48" t="s">
        <v>529</v>
      </c>
    </row>
    <row r="3" spans="1:35" ht="18" thickBot="1" x14ac:dyDescent="0.4">
      <c r="A3" s="38" t="s">
        <v>20</v>
      </c>
      <c r="B3" s="39" t="s">
        <v>155</v>
      </c>
      <c r="C3" s="39" t="s">
        <v>179</v>
      </c>
      <c r="D3" s="40" t="s">
        <v>665</v>
      </c>
      <c r="E3" s="41" t="s">
        <v>666</v>
      </c>
      <c r="F3" s="42">
        <v>0.8454299999999999</v>
      </c>
      <c r="G3" s="42" t="str">
        <f t="shared" ref="G3:G66" si="6">IF(F3&lt;1,"Até 1km",IF(F3&lt;2,"1-2km","2-3km"))</f>
        <v>Até 1km</v>
      </c>
      <c r="H3" s="43" t="s">
        <v>211</v>
      </c>
      <c r="I3" s="43">
        <v>38</v>
      </c>
      <c r="J3" s="44">
        <v>355.48</v>
      </c>
      <c r="K3" s="44" t="str">
        <f t="shared" ref="K3:K66" si="7">IF(J3&lt;200,"Econômico", IF(J3&lt;400,"Médio", "Alto"))</f>
        <v>Médio</v>
      </c>
      <c r="L3" s="43" t="s">
        <v>215</v>
      </c>
      <c r="M3" s="43" t="s">
        <v>218</v>
      </c>
      <c r="N3" s="43" t="s">
        <v>220</v>
      </c>
      <c r="O3" s="43">
        <v>4.3</v>
      </c>
      <c r="P3" s="45">
        <f>(Tabela1[Avaliação Média (0-5)] * 20) / Tabela1[Preço Médio da Diária (R$)] * 10</f>
        <v>2.4192640936198941</v>
      </c>
      <c r="Q3" s="42" t="str">
        <f t="shared" si="0"/>
        <v>Regular</v>
      </c>
      <c r="R3" s="43">
        <v>2</v>
      </c>
      <c r="S3" s="46" t="s">
        <v>956</v>
      </c>
      <c r="T3" s="43">
        <f t="shared" si="1"/>
        <v>1</v>
      </c>
      <c r="U3" s="46">
        <f t="shared" si="2"/>
        <v>1</v>
      </c>
      <c r="V3" s="46">
        <f>IF(OR(ISNUMBER(FIND("café da manhã",S3)), ISNUMBER(FIND("café da manha",O3)), ISNUMBER(FIND("cafe da manha",S3)), ISNUMBER(FIND("café da amanhã incluído",S3))), 1, 0)</f>
        <v>1</v>
      </c>
      <c r="W3" s="46">
        <f t="shared" si="3"/>
        <v>1</v>
      </c>
      <c r="X3" s="43">
        <f>IF(OR(ISNUMBER(FIND("serviço de quarto",S3)), ISNUMBER(FIND("servico de quarto",O3)), ISNUMBER(FIND("room service",S3))), 1, 0)</f>
        <v>0</v>
      </c>
      <c r="Y3" s="43">
        <f>IF(OR(ISNUMBER(FIND("restaurante",S3)), ISNUMBER(FIND("bar",S3))), 1, 0)</f>
        <v>0</v>
      </c>
      <c r="Z3" s="43">
        <f>IF(OR(ISNUMBER(FIND("academia",S3)), ISNUMBER(FIND("fitness",S3)), ISNUMBER(FIND("ginásio",S3))), 1, 0)</f>
        <v>0</v>
      </c>
      <c r="AA3" s="43">
        <f>IF(ISNUMBER(FIND("piscina",S3)), 1, 0)</f>
        <v>0</v>
      </c>
      <c r="AB3" s="43">
        <f>IF(OR(ISNUMBER(FIND("acessível",S3)),ISNUMBER(FIND("deficiência",S3)), ISNUMBER(FIND("cadeirante",S3)), ISNUMBER(FIND("PCD",S3))), 1, 0)</f>
        <v>0</v>
      </c>
      <c r="AC3" s="43">
        <f t="shared" si="5"/>
        <v>1</v>
      </c>
      <c r="AD3" s="46" t="s">
        <v>249</v>
      </c>
      <c r="AE3" s="43" t="s">
        <v>384</v>
      </c>
      <c r="AF3" s="43" t="s">
        <v>459</v>
      </c>
      <c r="AG3" s="43" t="s">
        <v>1064</v>
      </c>
      <c r="AH3" s="39" t="s">
        <v>527</v>
      </c>
      <c r="AI3" s="48" t="s">
        <v>529</v>
      </c>
    </row>
    <row r="4" spans="1:35" ht="18" thickBot="1" x14ac:dyDescent="0.4">
      <c r="A4" s="38" t="s">
        <v>21</v>
      </c>
      <c r="B4" s="39" t="s">
        <v>156</v>
      </c>
      <c r="C4" s="39" t="s">
        <v>179</v>
      </c>
      <c r="D4" s="41" t="s">
        <v>667</v>
      </c>
      <c r="E4" s="41" t="s">
        <v>668</v>
      </c>
      <c r="F4" s="42">
        <v>1.38</v>
      </c>
      <c r="G4" s="42" t="str">
        <f t="shared" si="6"/>
        <v>1-2km</v>
      </c>
      <c r="H4" s="43" t="s">
        <v>211</v>
      </c>
      <c r="I4" s="43">
        <v>25</v>
      </c>
      <c r="J4" s="44">
        <v>1166</v>
      </c>
      <c r="K4" s="44" t="str">
        <f t="shared" si="7"/>
        <v>Alto</v>
      </c>
      <c r="L4" s="43" t="s">
        <v>215</v>
      </c>
      <c r="M4" s="43" t="s">
        <v>218</v>
      </c>
      <c r="N4" s="43" t="s">
        <v>220</v>
      </c>
      <c r="O4" s="43">
        <v>3.9</v>
      </c>
      <c r="P4" s="45">
        <f>(Tabela1[Avaliação Média (0-5)] * 20) / Tabela1[Preço Médio da Diária (R$)] * 10</f>
        <v>0.66895368782161235</v>
      </c>
      <c r="Q4" s="42" t="str">
        <f t="shared" si="0"/>
        <v>Baixo</v>
      </c>
      <c r="R4" s="43">
        <v>2</v>
      </c>
      <c r="S4" s="46" t="s">
        <v>957</v>
      </c>
      <c r="T4" s="43">
        <f t="shared" si="1"/>
        <v>1</v>
      </c>
      <c r="U4" s="46">
        <f t="shared" si="2"/>
        <v>1</v>
      </c>
      <c r="V4" s="46">
        <f>IF(OR(ISNUMBER(FIND("café da manhã",S4)), ISNUMBER(FIND("café da manha",O4)), ISNUMBER(FIND("cafe da manha",S4)), ISNUMBER(FIND("café da amanhã incluído",S4))), 1, 0)</f>
        <v>1</v>
      </c>
      <c r="W4" s="46">
        <f t="shared" si="3"/>
        <v>1</v>
      </c>
      <c r="X4" s="43">
        <f>IF(OR(ISNUMBER(FIND("serviço de quarto",S4)), ISNUMBER(FIND("servico de quarto",O4)), ISNUMBER(FIND("room service",S4))), 1, 0)</f>
        <v>1</v>
      </c>
      <c r="Y4" s="43">
        <f>IF(OR(ISNUMBER(FIND("restaurante",S4)), ISNUMBER(FIND("bar",S4))), 1, 0)</f>
        <v>0</v>
      </c>
      <c r="Z4" s="43">
        <f>IF(OR(ISNUMBER(FIND("academia",S4)), ISNUMBER(FIND("fitness",S4)), ISNUMBER(FIND("ginásio",S4))), 1, 0)</f>
        <v>0</v>
      </c>
      <c r="AA4" s="43">
        <f>IF(ISNUMBER(FIND("piscina",S4)), 1, 0)</f>
        <v>0</v>
      </c>
      <c r="AB4" s="43">
        <f>IF(OR(ISNUMBER(FIND("acessível",S4)),ISNUMBER(FIND("deficiência",S4)), ISNUMBER(FIND("cadeirante",S4)), ISNUMBER(FIND("PCD",S4))), 1, 0)</f>
        <v>0</v>
      </c>
      <c r="AC4" s="43">
        <f t="shared" si="5"/>
        <v>1</v>
      </c>
      <c r="AD4" s="46" t="s">
        <v>250</v>
      </c>
      <c r="AE4" s="43" t="s">
        <v>385</v>
      </c>
      <c r="AF4" s="43" t="s">
        <v>459</v>
      </c>
      <c r="AG4" s="43" t="s">
        <v>1064</v>
      </c>
      <c r="AH4" s="39" t="s">
        <v>528</v>
      </c>
      <c r="AI4" s="48" t="s">
        <v>530</v>
      </c>
    </row>
    <row r="5" spans="1:35" ht="18" thickBot="1" x14ac:dyDescent="0.4">
      <c r="A5" s="38" t="s">
        <v>22</v>
      </c>
      <c r="B5" s="39" t="s">
        <v>157</v>
      </c>
      <c r="C5" s="39" t="s">
        <v>180</v>
      </c>
      <c r="D5" s="41" t="s">
        <v>669</v>
      </c>
      <c r="E5" s="41" t="s">
        <v>670</v>
      </c>
      <c r="F5" s="42">
        <v>1.53</v>
      </c>
      <c r="G5" s="42" t="str">
        <f t="shared" si="6"/>
        <v>1-2km</v>
      </c>
      <c r="H5" s="43" t="s">
        <v>211</v>
      </c>
      <c r="I5" s="43">
        <v>26</v>
      </c>
      <c r="J5" s="44">
        <v>309.33</v>
      </c>
      <c r="K5" s="44" t="str">
        <f t="shared" si="7"/>
        <v>Médio</v>
      </c>
      <c r="L5" s="43" t="s">
        <v>215</v>
      </c>
      <c r="M5" s="43" t="s">
        <v>552</v>
      </c>
      <c r="N5" s="43" t="s">
        <v>220</v>
      </c>
      <c r="O5" s="43">
        <v>4</v>
      </c>
      <c r="P5" s="45">
        <f>(Tabela1[Avaliação Média (0-5)] * 20) / Tabela1[Preço Médio da Diária (R$)] * 10</f>
        <v>2.5862347654608349</v>
      </c>
      <c r="Q5" s="42" t="str">
        <f t="shared" si="0"/>
        <v>Regular</v>
      </c>
      <c r="R5" s="43">
        <v>2</v>
      </c>
      <c r="S5" s="46" t="s">
        <v>958</v>
      </c>
      <c r="T5" s="43">
        <f t="shared" si="1"/>
        <v>1</v>
      </c>
      <c r="U5" s="46">
        <f t="shared" si="2"/>
        <v>1</v>
      </c>
      <c r="V5" s="46">
        <f>IF(OR(ISNUMBER(FIND("café da manhã",S5)), ISNUMBER(FIND("café da manha",O5)), ISNUMBER(FIND("cafe da manha",S5)), ISNUMBER(FIND("café da amanhã incluído",S5))), 1, 0)</f>
        <v>1</v>
      </c>
      <c r="W5" s="46">
        <f t="shared" si="3"/>
        <v>1</v>
      </c>
      <c r="X5" s="43">
        <f>IF(OR(ISNUMBER(FIND("serviço de quarto",S5)), ISNUMBER(FIND("servico de quarto",O5)), ISNUMBER(FIND("room service",S5))), 1, 0)</f>
        <v>1</v>
      </c>
      <c r="Y5" s="43">
        <f t="shared" si="4"/>
        <v>1</v>
      </c>
      <c r="Z5" s="43">
        <f>IF(OR(ISNUMBER(FIND("academia",S5)), ISNUMBER(FIND("fitness",S5)), ISNUMBER(FIND("ginásio",S5))), 1, 0)</f>
        <v>0</v>
      </c>
      <c r="AA5" s="43">
        <f>IF(ISNUMBER(FIND("piscina",S5)), 1, 0)</f>
        <v>0</v>
      </c>
      <c r="AB5" s="43">
        <f>IF(OR(ISNUMBER(FIND("acessível",S5)),ISNUMBER(FIND("deficiência",S5)), ISNUMBER(FIND("cadeirante",S5)), ISNUMBER(FIND("PCD",S5))), 1, 0)</f>
        <v>0</v>
      </c>
      <c r="AC5" s="43">
        <f t="shared" si="5"/>
        <v>1</v>
      </c>
      <c r="AD5" s="46" t="s">
        <v>251</v>
      </c>
      <c r="AE5" s="43" t="s">
        <v>386</v>
      </c>
      <c r="AF5" s="43" t="s">
        <v>459</v>
      </c>
      <c r="AG5" s="43" t="s">
        <v>1065</v>
      </c>
      <c r="AH5" s="39" t="s">
        <v>527</v>
      </c>
      <c r="AI5" s="48" t="s">
        <v>529</v>
      </c>
    </row>
    <row r="6" spans="1:35" ht="18" thickBot="1" x14ac:dyDescent="0.4">
      <c r="A6" s="38" t="s">
        <v>23</v>
      </c>
      <c r="B6" s="39" t="s">
        <v>158</v>
      </c>
      <c r="C6" s="39" t="s">
        <v>181</v>
      </c>
      <c r="D6" s="41" t="s">
        <v>671</v>
      </c>
      <c r="E6" s="41" t="s">
        <v>672</v>
      </c>
      <c r="F6" s="42">
        <v>2.77</v>
      </c>
      <c r="G6" s="42" t="str">
        <f t="shared" si="6"/>
        <v>2-3km</v>
      </c>
      <c r="H6" s="43" t="s">
        <v>211</v>
      </c>
      <c r="I6" s="43">
        <v>15</v>
      </c>
      <c r="J6" s="44">
        <v>243</v>
      </c>
      <c r="K6" s="44" t="str">
        <f t="shared" si="7"/>
        <v>Médio</v>
      </c>
      <c r="L6" s="43" t="s">
        <v>215</v>
      </c>
      <c r="M6" s="43" t="s">
        <v>219</v>
      </c>
      <c r="N6" s="43" t="s">
        <v>220</v>
      </c>
      <c r="O6" s="43">
        <v>4.3</v>
      </c>
      <c r="P6" s="45">
        <f>(Tabela1[Avaliação Média (0-5)] * 20) / Tabela1[Preço Médio da Diária (R$)] * 10</f>
        <v>3.5390946502057612</v>
      </c>
      <c r="Q6" s="42" t="str">
        <f t="shared" si="0"/>
        <v>Regular</v>
      </c>
      <c r="R6" s="43">
        <v>2</v>
      </c>
      <c r="S6" s="46" t="s">
        <v>959</v>
      </c>
      <c r="T6" s="43">
        <f t="shared" si="1"/>
        <v>1</v>
      </c>
      <c r="U6" s="46">
        <f t="shared" si="2"/>
        <v>1</v>
      </c>
      <c r="V6" s="46">
        <f>IF(OR(ISNUMBER(FIND("café da manhã",S6)), ISNUMBER(FIND("café da manha",O6)), ISNUMBER(FIND("cafe da manha",S6)), ISNUMBER(FIND("café da amanhã incluído",S6))), 1, 0)</f>
        <v>1</v>
      </c>
      <c r="W6" s="46">
        <f t="shared" si="3"/>
        <v>1</v>
      </c>
      <c r="X6" s="43">
        <f>IF(OR(ISNUMBER(FIND("serviço de quarto",S6)), ISNUMBER(FIND("servico de quarto",O6)), ISNUMBER(FIND("room service",S6))), 1, 0)</f>
        <v>1</v>
      </c>
      <c r="Y6" s="43">
        <f>IF(OR(ISNUMBER(FIND("restaurante",S6)), ISNUMBER(FIND("bar",S6))), 1, 0)</f>
        <v>0</v>
      </c>
      <c r="Z6" s="43">
        <f>IF(OR(ISNUMBER(FIND("academia",S6)), ISNUMBER(FIND("fitness",S6)), ISNUMBER(FIND("ginásio",S6))), 1, 0)</f>
        <v>0</v>
      </c>
      <c r="AA6" s="43">
        <f>IF(ISNUMBER(FIND("piscina",S6)), 1, 0)</f>
        <v>0</v>
      </c>
      <c r="AB6" s="43">
        <f>IF(OR(ISNUMBER(FIND("acessível",S6)),ISNUMBER(FIND("deficiência",S6)), ISNUMBER(FIND("cadeirante",S6)), ISNUMBER(FIND("PCD",S6))), 1, 0)</f>
        <v>0</v>
      </c>
      <c r="AC6" s="43">
        <f t="shared" si="5"/>
        <v>1</v>
      </c>
      <c r="AD6" s="46" t="s">
        <v>252</v>
      </c>
      <c r="AE6" s="43" t="s">
        <v>387</v>
      </c>
      <c r="AF6" s="43" t="s">
        <v>460</v>
      </c>
      <c r="AG6" s="43" t="s">
        <v>1064</v>
      </c>
      <c r="AH6" s="39" t="s">
        <v>527</v>
      </c>
      <c r="AI6" s="48" t="s">
        <v>529</v>
      </c>
    </row>
    <row r="7" spans="1:35" ht="18" thickBot="1" x14ac:dyDescent="0.4">
      <c r="A7" s="38" t="s">
        <v>24</v>
      </c>
      <c r="B7" s="39" t="s">
        <v>159</v>
      </c>
      <c r="C7" s="39" t="s">
        <v>181</v>
      </c>
      <c r="D7" s="41" t="s">
        <v>673</v>
      </c>
      <c r="E7" s="41" t="s">
        <v>674</v>
      </c>
      <c r="F7" s="42">
        <v>2.95</v>
      </c>
      <c r="G7" s="42" t="str">
        <f t="shared" si="6"/>
        <v>2-3km</v>
      </c>
      <c r="H7" s="43" t="s">
        <v>211</v>
      </c>
      <c r="I7" s="43">
        <v>18</v>
      </c>
      <c r="J7" s="44">
        <v>154</v>
      </c>
      <c r="K7" s="44" t="str">
        <f t="shared" si="7"/>
        <v>Econômico</v>
      </c>
      <c r="L7" s="43" t="s">
        <v>215</v>
      </c>
      <c r="M7" s="43" t="s">
        <v>218</v>
      </c>
      <c r="N7" s="43" t="s">
        <v>220</v>
      </c>
      <c r="O7" s="43">
        <v>3.7</v>
      </c>
      <c r="P7" s="45">
        <f>(Tabela1[Avaliação Média (0-5)] * 20) / Tabela1[Preço Médio da Diária (R$)] * 10</f>
        <v>4.8051948051948052</v>
      </c>
      <c r="Q7" s="42" t="str">
        <f t="shared" si="0"/>
        <v>Bom</v>
      </c>
      <c r="R7" s="43">
        <v>2</v>
      </c>
      <c r="S7" s="46" t="s">
        <v>960</v>
      </c>
      <c r="T7" s="43">
        <f t="shared" si="1"/>
        <v>1</v>
      </c>
      <c r="U7" s="46">
        <f t="shared" si="2"/>
        <v>1</v>
      </c>
      <c r="V7" s="46">
        <f>IF(OR(ISNUMBER(FIND("café da manhã",S7)), ISNUMBER(FIND("café da manha",O7)), ISNUMBER(FIND("cafe da manha",S7)), ISNUMBER(FIND("café da amanhã incluído",S7))), 1, 0)</f>
        <v>1</v>
      </c>
      <c r="W7" s="46">
        <f t="shared" si="3"/>
        <v>1</v>
      </c>
      <c r="X7" s="43">
        <f>IF(OR(ISNUMBER(FIND("serviço de quarto",S7)), ISNUMBER(FIND("servico de quarto",O7)), ISNUMBER(FIND("room service",S7))), 1, 0)</f>
        <v>1</v>
      </c>
      <c r="Y7" s="43">
        <f>IF(OR(ISNUMBER(FIND("restaurante",S7)), ISNUMBER(FIND("bar",S7))), 1, 0)</f>
        <v>0</v>
      </c>
      <c r="Z7" s="43">
        <f>IF(OR(ISNUMBER(FIND("academia",S7)), ISNUMBER(FIND("fitness",S7)), ISNUMBER(FIND("ginásio",S7))), 1, 0)</f>
        <v>0</v>
      </c>
      <c r="AA7" s="43">
        <f>IF(ISNUMBER(FIND("piscina",S7)), 1, 0)</f>
        <v>0</v>
      </c>
      <c r="AB7" s="43">
        <f>IF(OR(ISNUMBER(FIND("acessível",S7)),ISNUMBER(FIND("deficiência",S7)), ISNUMBER(FIND("cadeirante",S7)), ISNUMBER(FIND("PCD",S7))), 1, 0)</f>
        <v>0</v>
      </c>
      <c r="AC7" s="43">
        <f t="shared" si="5"/>
        <v>1</v>
      </c>
      <c r="AD7" s="46" t="s">
        <v>253</v>
      </c>
      <c r="AE7" s="43" t="s">
        <v>388</v>
      </c>
      <c r="AF7" s="43" t="s">
        <v>460</v>
      </c>
      <c r="AG7" s="43" t="s">
        <v>1064</v>
      </c>
      <c r="AH7" s="39" t="s">
        <v>527</v>
      </c>
      <c r="AI7" s="48" t="s">
        <v>529</v>
      </c>
    </row>
    <row r="8" spans="1:35" ht="16.5" customHeight="1" thickBot="1" x14ac:dyDescent="0.4">
      <c r="A8" s="38" t="s">
        <v>25</v>
      </c>
      <c r="B8" s="39" t="s">
        <v>160</v>
      </c>
      <c r="C8" s="39" t="s">
        <v>181</v>
      </c>
      <c r="D8" s="41" t="s">
        <v>675</v>
      </c>
      <c r="E8" s="41" t="s">
        <v>676</v>
      </c>
      <c r="F8" s="42">
        <v>2.87</v>
      </c>
      <c r="G8" s="42" t="str">
        <f t="shared" si="6"/>
        <v>2-3km</v>
      </c>
      <c r="H8" s="43" t="s">
        <v>211</v>
      </c>
      <c r="I8" s="43">
        <v>35</v>
      </c>
      <c r="J8" s="44">
        <v>310</v>
      </c>
      <c r="K8" s="44" t="str">
        <f t="shared" si="7"/>
        <v>Médio</v>
      </c>
      <c r="L8" s="43" t="s">
        <v>215</v>
      </c>
      <c r="M8" s="43" t="s">
        <v>218</v>
      </c>
      <c r="N8" s="43" t="s">
        <v>220</v>
      </c>
      <c r="O8" s="43">
        <v>4.5</v>
      </c>
      <c r="P8" s="45">
        <f>(Tabela1[Avaliação Média (0-5)] * 20) / Tabela1[Preço Médio da Diária (R$)] * 10</f>
        <v>2.903225806451613</v>
      </c>
      <c r="Q8" s="42" t="str">
        <f t="shared" si="0"/>
        <v>Regular</v>
      </c>
      <c r="R8" s="43">
        <v>2</v>
      </c>
      <c r="S8" s="49" t="s">
        <v>991</v>
      </c>
      <c r="T8" s="43">
        <f t="shared" si="1"/>
        <v>1</v>
      </c>
      <c r="U8" s="46">
        <f t="shared" si="2"/>
        <v>1</v>
      </c>
      <c r="V8" s="46">
        <f>IF(OR(ISNUMBER(FIND("café da manhã",S8)), ISNUMBER(FIND("café da manha",O8)), ISNUMBER(FIND("cafe da manha",S8)), ISNUMBER(FIND("café da amanhã incluído",S8))), 1, 0)</f>
        <v>1</v>
      </c>
      <c r="W8" s="46">
        <f>IF(OR(ISNUMBER(FIND("estacionamento",S8)),ISNUMBER(FIND("estaciona",S8))), 1, 0)</f>
        <v>1</v>
      </c>
      <c r="X8" s="43">
        <f>IF(OR(ISNUMBER(FIND("serviço de quarto",S8)), ISNUMBER(FIND("servico de quarto",O8)), ISNUMBER(FIND("room service",S8))), 1, 0)</f>
        <v>1</v>
      </c>
      <c r="Y8" s="43">
        <f>IF(OR(ISNUMBER(FIND("restaurante",S8)), ISNUMBER(FIND("bar",S8))), 1, 0)</f>
        <v>0</v>
      </c>
      <c r="Z8" s="43">
        <f>IF(OR(ISNUMBER(FIND("academia",S8)), ISNUMBER(FIND("fitness",S8)), ISNUMBER(FIND("ginásio",S8))), 1, 0)</f>
        <v>0</v>
      </c>
      <c r="AA8" s="43">
        <f>IF(ISNUMBER(FIND("piscina",S8)), 1, 0)</f>
        <v>0</v>
      </c>
      <c r="AB8" s="43">
        <f t="shared" ref="AB8:AB26" si="8">IF(OR(ISNUMBER(FIND("acessível",S8)),ISNUMBER(FIND("deficiência",S8)), ISNUMBER(FIND("cadeirante",S8)), ISNUMBER(FIND("PCD",S8))), 1, 0)</f>
        <v>1</v>
      </c>
      <c r="AC8" s="43">
        <f t="shared" si="5"/>
        <v>1</v>
      </c>
      <c r="AD8" s="46" t="s">
        <v>254</v>
      </c>
      <c r="AE8" s="43" t="s">
        <v>389</v>
      </c>
      <c r="AF8" s="43" t="s">
        <v>460</v>
      </c>
      <c r="AG8" s="43" t="s">
        <v>1064</v>
      </c>
      <c r="AH8" s="39" t="s">
        <v>527</v>
      </c>
      <c r="AI8" s="48" t="s">
        <v>529</v>
      </c>
    </row>
    <row r="9" spans="1:35" ht="18" thickBot="1" x14ac:dyDescent="0.4">
      <c r="A9" s="38" t="s">
        <v>26</v>
      </c>
      <c r="B9" s="39" t="s">
        <v>161</v>
      </c>
      <c r="C9" s="39" t="s">
        <v>181</v>
      </c>
      <c r="D9" s="41" t="s">
        <v>677</v>
      </c>
      <c r="E9" s="41" t="s">
        <v>678</v>
      </c>
      <c r="F9" s="42">
        <v>2.4300000000000002</v>
      </c>
      <c r="G9" s="42" t="str">
        <f t="shared" si="6"/>
        <v>2-3km</v>
      </c>
      <c r="H9" s="43" t="s">
        <v>211</v>
      </c>
      <c r="I9" s="43">
        <v>17</v>
      </c>
      <c r="J9" s="44">
        <v>145</v>
      </c>
      <c r="K9" s="44" t="str">
        <f t="shared" si="7"/>
        <v>Econômico</v>
      </c>
      <c r="L9" s="43" t="s">
        <v>215</v>
      </c>
      <c r="M9" s="43" t="s">
        <v>218</v>
      </c>
      <c r="N9" s="43" t="s">
        <v>220</v>
      </c>
      <c r="O9" s="43">
        <v>3.8</v>
      </c>
      <c r="P9" s="45">
        <f>(Tabela1[Avaliação Média (0-5)] * 20) / Tabela1[Preço Médio da Diária (R$)] * 10</f>
        <v>5.2413793103448283</v>
      </c>
      <c r="Q9" s="42" t="str">
        <f t="shared" si="0"/>
        <v>Bom</v>
      </c>
      <c r="R9" s="43">
        <v>2</v>
      </c>
      <c r="S9" s="46" t="s">
        <v>230</v>
      </c>
      <c r="T9" s="43">
        <f t="shared" si="1"/>
        <v>0</v>
      </c>
      <c r="U9" s="46">
        <f t="shared" si="2"/>
        <v>0</v>
      </c>
      <c r="V9" s="46">
        <f>IF(OR(ISNUMBER(FIND("café da manhã",S9)), ISNUMBER(FIND("café da manha",O9)), ISNUMBER(FIND("cafe da manha",S9)), ISNUMBER(FIND("café da amanhã incluído",S9))), 1, 0)</f>
        <v>1</v>
      </c>
      <c r="W9" s="46">
        <f>IF(OR(ISNUMBER(FIND("estacionamento",S9)),ISNUMBER(FIND("estaciona",S9))), 1, 0)</f>
        <v>0</v>
      </c>
      <c r="X9" s="43">
        <f>IF(OR(ISNUMBER(FIND("serviço de quarto",S9)), ISNUMBER(FIND("servico de quarto",O9)), ISNUMBER(FIND("room service",S9))), 1, 0)</f>
        <v>1</v>
      </c>
      <c r="Y9" s="43">
        <f>IF(OR(ISNUMBER(FIND("restaurante",S9)), ISNUMBER(FIND("bar",S9))), 1, 0)</f>
        <v>0</v>
      </c>
      <c r="Z9" s="43">
        <f>IF(OR(ISNUMBER(FIND("academia",S9)), ISNUMBER(FIND("fitness",S9)), ISNUMBER(FIND("ginásio",S9))), 1, 0)</f>
        <v>0</v>
      </c>
      <c r="AA9" s="43">
        <f>IF(ISNUMBER(FIND("piscina",S9)), 1, 0)</f>
        <v>0</v>
      </c>
      <c r="AB9" s="43">
        <f>IF(OR(ISNUMBER(FIND("acessível",S9)),ISNUMBER(FIND("deficiência",S9)), ISNUMBER(FIND("cadeirante",S9)), ISNUMBER(FIND("PCD",S9))), 1, 0)</f>
        <v>0</v>
      </c>
      <c r="AC9" s="43">
        <f t="shared" si="5"/>
        <v>1</v>
      </c>
      <c r="AD9" s="46" t="s">
        <v>255</v>
      </c>
      <c r="AE9" s="43" t="s">
        <v>388</v>
      </c>
      <c r="AF9" s="43" t="s">
        <v>460</v>
      </c>
      <c r="AG9" s="43" t="s">
        <v>1064</v>
      </c>
      <c r="AH9" s="39" t="s">
        <v>527</v>
      </c>
      <c r="AI9" s="48" t="s">
        <v>529</v>
      </c>
    </row>
    <row r="10" spans="1:35" ht="18" thickBot="1" x14ac:dyDescent="0.4">
      <c r="A10" s="38" t="s">
        <v>27</v>
      </c>
      <c r="B10" s="39" t="s">
        <v>162</v>
      </c>
      <c r="C10" s="39" t="s">
        <v>182</v>
      </c>
      <c r="D10" s="41" t="s">
        <v>679</v>
      </c>
      <c r="E10" s="41" t="s">
        <v>680</v>
      </c>
      <c r="F10" s="42">
        <v>3</v>
      </c>
      <c r="G10" s="42" t="str">
        <f t="shared" si="6"/>
        <v>2-3km</v>
      </c>
      <c r="H10" s="43" t="s">
        <v>211</v>
      </c>
      <c r="I10" s="43">
        <v>30</v>
      </c>
      <c r="J10" s="44">
        <v>260</v>
      </c>
      <c r="K10" s="44" t="str">
        <f t="shared" si="7"/>
        <v>Médio</v>
      </c>
      <c r="L10" s="43" t="s">
        <v>215</v>
      </c>
      <c r="M10" s="43" t="s">
        <v>218</v>
      </c>
      <c r="N10" s="43" t="s">
        <v>220</v>
      </c>
      <c r="O10" s="43">
        <v>4.2</v>
      </c>
      <c r="P10" s="45">
        <f>(Tabela1[Avaliação Média (0-5)] * 20) / Tabela1[Preço Médio da Diária (R$)] * 10</f>
        <v>3.2307692307692308</v>
      </c>
      <c r="Q10" s="42" t="str">
        <f t="shared" si="0"/>
        <v>Regular</v>
      </c>
      <c r="R10" s="43">
        <v>2</v>
      </c>
      <c r="S10" s="46" t="s">
        <v>1017</v>
      </c>
      <c r="T10" s="43">
        <f t="shared" si="1"/>
        <v>1</v>
      </c>
      <c r="U10" s="46">
        <f t="shared" si="2"/>
        <v>1</v>
      </c>
      <c r="V10" s="46">
        <f>IF(OR(ISNUMBER(FIND("café da manhã",S10)), ISNUMBER(FIND("café da manha",O10)), ISNUMBER(FIND("cafe da manha",S10)), ISNUMBER(FIND("café da amanhã incluído",S10))), 1, 0)</f>
        <v>1</v>
      </c>
      <c r="W10" s="46">
        <f t="shared" si="3"/>
        <v>1</v>
      </c>
      <c r="X10" s="43">
        <f>IF(OR(ISNUMBER(FIND("serviço de quarto",S10)), ISNUMBER(FIND("servico de quarto",O10)), ISNUMBER(FIND("room service",S10))), 1, 0)</f>
        <v>1</v>
      </c>
      <c r="Y10" s="43">
        <f t="shared" si="4"/>
        <v>1</v>
      </c>
      <c r="Z10" s="43">
        <f>IF(OR(ISNUMBER(FIND("academia",S10)), ISNUMBER(FIND("fitness",S10)), ISNUMBER(FIND("ginásio",S10))), 1, 0)</f>
        <v>0</v>
      </c>
      <c r="AA10" s="43">
        <f>IF(ISNUMBER(FIND("piscina",S10)), 1, 0)</f>
        <v>0</v>
      </c>
      <c r="AB10" s="43">
        <f>IF(OR(ISNUMBER(FIND("acessível",S10)),ISNUMBER(FIND("deficiência",S10)), ISNUMBER(FIND("cadeirante",S10)), ISNUMBER(FIND("PCD",S10))), 1, 0)</f>
        <v>0</v>
      </c>
      <c r="AC10" s="43">
        <f t="shared" si="5"/>
        <v>1</v>
      </c>
      <c r="AD10" s="46" t="s">
        <v>256</v>
      </c>
      <c r="AE10" s="43" t="s">
        <v>390</v>
      </c>
      <c r="AF10" s="43" t="s">
        <v>460</v>
      </c>
      <c r="AG10" s="43" t="s">
        <v>1064</v>
      </c>
      <c r="AH10" s="39" t="s">
        <v>527</v>
      </c>
      <c r="AI10" s="48" t="s">
        <v>529</v>
      </c>
    </row>
    <row r="11" spans="1:35" ht="18" thickBot="1" x14ac:dyDescent="0.4">
      <c r="A11" s="38" t="s">
        <v>28</v>
      </c>
      <c r="B11" s="39" t="s">
        <v>163</v>
      </c>
      <c r="C11" s="39" t="s">
        <v>178</v>
      </c>
      <c r="D11" s="40" t="s">
        <v>682</v>
      </c>
      <c r="E11" s="41" t="s">
        <v>681</v>
      </c>
      <c r="F11" s="42">
        <v>0.57474000000000003</v>
      </c>
      <c r="G11" s="42" t="str">
        <f t="shared" si="6"/>
        <v>Até 1km</v>
      </c>
      <c r="H11" s="43" t="s">
        <v>211</v>
      </c>
      <c r="I11" s="43">
        <v>46</v>
      </c>
      <c r="J11" s="44">
        <v>235.45</v>
      </c>
      <c r="K11" s="44" t="str">
        <f t="shared" si="7"/>
        <v>Médio</v>
      </c>
      <c r="L11" s="43" t="s">
        <v>215</v>
      </c>
      <c r="M11" s="43" t="s">
        <v>218</v>
      </c>
      <c r="N11" s="43" t="s">
        <v>220</v>
      </c>
      <c r="O11" s="43">
        <v>4</v>
      </c>
      <c r="P11" s="45">
        <f>(Tabela1[Avaliação Média (0-5)] * 20) / Tabela1[Preço Médio da Diária (R$)] * 10</f>
        <v>3.3977489912932684</v>
      </c>
      <c r="Q11" s="42" t="str">
        <f t="shared" si="0"/>
        <v>Regular</v>
      </c>
      <c r="R11" s="43">
        <v>2</v>
      </c>
      <c r="S11" s="46" t="s">
        <v>961</v>
      </c>
      <c r="T11" s="43">
        <f t="shared" si="1"/>
        <v>1</v>
      </c>
      <c r="U11" s="46">
        <f t="shared" si="2"/>
        <v>1</v>
      </c>
      <c r="V11" s="46">
        <f>IF(OR(ISNUMBER(FIND("café da manhã",S11)), ISNUMBER(FIND("café da manha",O11)), ISNUMBER(FIND("cafe da manha",S11)), ISNUMBER(FIND("café da amanhã incluído",S11))), 1, 0)</f>
        <v>1</v>
      </c>
      <c r="W11" s="46">
        <f t="shared" si="3"/>
        <v>1</v>
      </c>
      <c r="X11" s="43">
        <f>IF(OR(ISNUMBER(FIND("serviço de quarto",S11)), ISNUMBER(FIND("servico de quarto",O11)), ISNUMBER(FIND("room service",S11))), 1, 0)</f>
        <v>0</v>
      </c>
      <c r="Y11" s="43">
        <f>IF(OR(ISNUMBER(FIND("restaurante",S11)), ISNUMBER(FIND("bar",S11))), 1, 0)</f>
        <v>0</v>
      </c>
      <c r="Z11" s="43">
        <f>IF(OR(ISNUMBER(FIND("academia",S11)), ISNUMBER(FIND("fitness",S11)), ISNUMBER(FIND("ginásio",S11))), 1, 0)</f>
        <v>0</v>
      </c>
      <c r="AA11" s="43">
        <f>IF(ISNUMBER(FIND("piscina",S11)), 1, 0)</f>
        <v>0</v>
      </c>
      <c r="AB11" s="43">
        <f>IF(OR(ISNUMBER(FIND("acessível",S11)),ISNUMBER(FIND("deficiência",S11)), ISNUMBER(FIND("cadeirante",S11)), ISNUMBER(FIND("PCD",S11))), 1, 0)</f>
        <v>0</v>
      </c>
      <c r="AC11" s="43">
        <f t="shared" si="5"/>
        <v>1</v>
      </c>
      <c r="AD11" s="46" t="s">
        <v>257</v>
      </c>
      <c r="AE11" s="43" t="s">
        <v>391</v>
      </c>
      <c r="AF11" s="43" t="s">
        <v>461</v>
      </c>
      <c r="AG11" s="43" t="s">
        <v>1064</v>
      </c>
      <c r="AH11" s="39" t="s">
        <v>527</v>
      </c>
      <c r="AI11" s="48" t="s">
        <v>529</v>
      </c>
    </row>
    <row r="12" spans="1:35" ht="18" thickBot="1" x14ac:dyDescent="0.4">
      <c r="A12" s="38" t="s">
        <v>29</v>
      </c>
      <c r="B12" s="39" t="s">
        <v>661</v>
      </c>
      <c r="C12" s="39" t="s">
        <v>181</v>
      </c>
      <c r="D12" s="41" t="s">
        <v>683</v>
      </c>
      <c r="E12" s="41" t="s">
        <v>684</v>
      </c>
      <c r="F12" s="42">
        <v>2.5</v>
      </c>
      <c r="G12" s="42" t="str">
        <f t="shared" si="6"/>
        <v>2-3km</v>
      </c>
      <c r="H12" s="43" t="s">
        <v>211</v>
      </c>
      <c r="I12" s="43">
        <v>26</v>
      </c>
      <c r="J12" s="44">
        <v>158</v>
      </c>
      <c r="K12" s="44" t="str">
        <f t="shared" si="7"/>
        <v>Econômico</v>
      </c>
      <c r="L12" s="43" t="s">
        <v>215</v>
      </c>
      <c r="M12" s="43" t="s">
        <v>217</v>
      </c>
      <c r="N12" s="43" t="s">
        <v>220</v>
      </c>
      <c r="O12" s="43">
        <v>3.9</v>
      </c>
      <c r="P12" s="45">
        <f>(Tabela1[Avaliação Média (0-5)] * 20) / Tabela1[Preço Médio da Diária (R$)] * 10</f>
        <v>4.9367088607594942</v>
      </c>
      <c r="Q12" s="42" t="str">
        <f t="shared" si="0"/>
        <v>Bom</v>
      </c>
      <c r="R12" s="43">
        <v>2</v>
      </c>
      <c r="S12" s="46" t="s">
        <v>992</v>
      </c>
      <c r="T12" s="43">
        <f t="shared" si="1"/>
        <v>1</v>
      </c>
      <c r="U12" s="46">
        <f t="shared" si="2"/>
        <v>0</v>
      </c>
      <c r="V12" s="46">
        <f>IF(OR(ISNUMBER(FIND("café da manhã",S12)), ISNUMBER(FIND("café da manha",O12)), ISNUMBER(FIND("cafe da manha",S12)), ISNUMBER(FIND("café da amanhã incluído",S12))), 1, 0)</f>
        <v>1</v>
      </c>
      <c r="W12" s="46">
        <f>IF(OR(ISNUMBER(FIND("estacionamento",S12)),ISNUMBER(FIND("estaciona",S12))), 1, 0)</f>
        <v>0</v>
      </c>
      <c r="X12" s="43">
        <f>IF(OR(ISNUMBER(FIND("serviço de quarto",S12)), ISNUMBER(FIND("servico de quarto",O12)), ISNUMBER(FIND("room service",S12))), 1, 0)</f>
        <v>1</v>
      </c>
      <c r="Y12" s="43">
        <f>IF(OR(ISNUMBER(FIND("restaurante",S12)), ISNUMBER(FIND("bar",S12))), 1, 0)</f>
        <v>0</v>
      </c>
      <c r="Z12" s="43">
        <f>IF(OR(ISNUMBER(FIND("academia",S12)), ISNUMBER(FIND("fitness",S12)), ISNUMBER(FIND("ginásio",S12))), 1, 0)</f>
        <v>0</v>
      </c>
      <c r="AA12" s="43">
        <f>IF(ISNUMBER(FIND("piscina",S12)), 1, 0)</f>
        <v>0</v>
      </c>
      <c r="AB12" s="43">
        <f>IF(OR(ISNUMBER(FIND("acessível",S12)),ISNUMBER(FIND("deficiência",S12)), ISNUMBER(FIND("cadeirante",S12)), ISNUMBER(FIND("PCD",S12))), 1, 0)</f>
        <v>0</v>
      </c>
      <c r="AC12" s="43">
        <f t="shared" si="5"/>
        <v>1</v>
      </c>
      <c r="AD12" s="46" t="s">
        <v>258</v>
      </c>
      <c r="AE12" s="43" t="s">
        <v>392</v>
      </c>
      <c r="AF12" s="43" t="s">
        <v>460</v>
      </c>
      <c r="AG12" s="43" t="s">
        <v>1064</v>
      </c>
      <c r="AH12" s="39" t="s">
        <v>527</v>
      </c>
      <c r="AI12" s="48" t="s">
        <v>529</v>
      </c>
    </row>
    <row r="13" spans="1:35" ht="18" thickBot="1" x14ac:dyDescent="0.4">
      <c r="A13" s="38" t="s">
        <v>30</v>
      </c>
      <c r="B13" s="39" t="s">
        <v>164</v>
      </c>
      <c r="C13" s="39" t="s">
        <v>178</v>
      </c>
      <c r="D13" s="41" t="s">
        <v>685</v>
      </c>
      <c r="E13" s="41" t="s">
        <v>686</v>
      </c>
      <c r="F13" s="42">
        <v>0.68098000000000003</v>
      </c>
      <c r="G13" s="42" t="str">
        <f t="shared" si="6"/>
        <v>Até 1km</v>
      </c>
      <c r="H13" s="43" t="s">
        <v>211</v>
      </c>
      <c r="I13" s="43">
        <v>27</v>
      </c>
      <c r="J13" s="44">
        <v>159.32</v>
      </c>
      <c r="K13" s="44" t="str">
        <f t="shared" si="7"/>
        <v>Econômico</v>
      </c>
      <c r="L13" s="43" t="s">
        <v>215</v>
      </c>
      <c r="M13" s="43" t="s">
        <v>218</v>
      </c>
      <c r="N13" s="43" t="s">
        <v>220</v>
      </c>
      <c r="O13" s="43">
        <v>4</v>
      </c>
      <c r="P13" s="45">
        <f>(Tabela1[Avaliação Média (0-5)] * 20) / Tabela1[Preço Médio da Diária (R$)] * 10</f>
        <v>5.021340697966358</v>
      </c>
      <c r="Q13" s="42" t="str">
        <f t="shared" si="0"/>
        <v>Bom</v>
      </c>
      <c r="R13" s="43">
        <v>2</v>
      </c>
      <c r="S13" s="46" t="s">
        <v>962</v>
      </c>
      <c r="T13" s="43">
        <f t="shared" si="1"/>
        <v>1</v>
      </c>
      <c r="U13" s="46">
        <f t="shared" si="2"/>
        <v>1</v>
      </c>
      <c r="V13" s="46">
        <f>IF(OR(ISNUMBER(FIND("café da manhã",S13)), ISNUMBER(FIND("café da manha",O13)), ISNUMBER(FIND("cafe da manha",S13)), ISNUMBER(FIND("café da amanhã incluído",S13))), 1, 0)</f>
        <v>1</v>
      </c>
      <c r="W13" s="46">
        <f t="shared" si="3"/>
        <v>1</v>
      </c>
      <c r="X13" s="43">
        <f>IF(OR(ISNUMBER(FIND("serviço de quarto",S13)), ISNUMBER(FIND("servico de quarto",O13)), ISNUMBER(FIND("room service",S13))), 1, 0)</f>
        <v>0</v>
      </c>
      <c r="Y13" s="43">
        <f>IF(OR(ISNUMBER(FIND("restaurante",S13)), ISNUMBER(FIND("bar",S13))), 1, 0)</f>
        <v>0</v>
      </c>
      <c r="Z13" s="43">
        <f>IF(OR(ISNUMBER(FIND("academia",S13)), ISNUMBER(FIND("fitness",S13)), ISNUMBER(FIND("ginásio",S13))), 1, 0)</f>
        <v>0</v>
      </c>
      <c r="AA13" s="43">
        <f>IF(ISNUMBER(FIND("piscina",S13)), 1, 0)</f>
        <v>0</v>
      </c>
      <c r="AB13" s="43">
        <f>IF(OR(ISNUMBER(FIND("acessível",S13)),ISNUMBER(FIND("deficiência",S13)), ISNUMBER(FIND("cadeirante",S13)), ISNUMBER(FIND("PCD",S13))), 1, 0)</f>
        <v>0</v>
      </c>
      <c r="AC13" s="43">
        <f t="shared" si="5"/>
        <v>1</v>
      </c>
      <c r="AD13" s="46" t="s">
        <v>259</v>
      </c>
      <c r="AE13" s="43" t="s">
        <v>393</v>
      </c>
      <c r="AF13" s="43" t="s">
        <v>462</v>
      </c>
      <c r="AG13" s="43" t="s">
        <v>1064</v>
      </c>
      <c r="AH13" s="39" t="s">
        <v>527</v>
      </c>
      <c r="AI13" s="48" t="s">
        <v>529</v>
      </c>
    </row>
    <row r="14" spans="1:35" ht="18" thickBot="1" x14ac:dyDescent="0.4">
      <c r="A14" s="38" t="s">
        <v>31</v>
      </c>
      <c r="B14" s="39" t="s">
        <v>165</v>
      </c>
      <c r="C14" s="39" t="s">
        <v>179</v>
      </c>
      <c r="D14" s="41" t="s">
        <v>687</v>
      </c>
      <c r="E14" s="41" t="s">
        <v>688</v>
      </c>
      <c r="F14" s="42">
        <v>1.52</v>
      </c>
      <c r="G14" s="42" t="str">
        <f t="shared" si="6"/>
        <v>1-2km</v>
      </c>
      <c r="H14" s="43" t="s">
        <v>212</v>
      </c>
      <c r="I14" s="43">
        <v>6</v>
      </c>
      <c r="J14" s="44">
        <v>110.41</v>
      </c>
      <c r="K14" s="44" t="str">
        <f t="shared" si="7"/>
        <v>Econômico</v>
      </c>
      <c r="L14" s="43" t="s">
        <v>215</v>
      </c>
      <c r="M14" s="43" t="s">
        <v>219</v>
      </c>
      <c r="N14" s="43" t="s">
        <v>220</v>
      </c>
      <c r="O14" s="43">
        <v>4.4000000000000004</v>
      </c>
      <c r="P14" s="45">
        <f>(Tabela1[Avaliação Média (0-5)] * 20) / Tabela1[Preço Médio da Diária (R$)] * 10</f>
        <v>7.97029254596504</v>
      </c>
      <c r="Q14" s="42" t="str">
        <f t="shared" si="0"/>
        <v>Excelente</v>
      </c>
      <c r="R14" s="43">
        <v>2</v>
      </c>
      <c r="S14" s="46" t="s">
        <v>963</v>
      </c>
      <c r="T14" s="43">
        <f t="shared" si="1"/>
        <v>1</v>
      </c>
      <c r="U14" s="46">
        <f t="shared" si="2"/>
        <v>1</v>
      </c>
      <c r="V14" s="46">
        <f>IF(OR(ISNUMBER(FIND("café da manhã",S14)), ISNUMBER(FIND("café da manha",O14)), ISNUMBER(FIND("cafe da manha",S14)), ISNUMBER(FIND("café da amanhã incluído",S14))), 1, 0)</f>
        <v>1</v>
      </c>
      <c r="W14" s="46">
        <f>IF(OR(ISNUMBER(FIND("estacionamento",S14)),ISNUMBER(FIND("estaciona",S14))), 1, 0)</f>
        <v>0</v>
      </c>
      <c r="X14" s="43">
        <f>IF(OR(ISNUMBER(FIND("serviço de quarto",S14)), ISNUMBER(FIND("servico de quarto",O14)), ISNUMBER(FIND("room service",S14))), 1, 0)</f>
        <v>0</v>
      </c>
      <c r="Y14" s="43">
        <f>IF(OR(ISNUMBER(FIND("restaurante",S14)), ISNUMBER(FIND("bar",S14))), 1, 0)</f>
        <v>0</v>
      </c>
      <c r="Z14" s="43">
        <f>IF(OR(ISNUMBER(FIND("academia",S14)), ISNUMBER(FIND("fitness",S14)), ISNUMBER(FIND("ginásio",S14))), 1, 0)</f>
        <v>0</v>
      </c>
      <c r="AA14" s="43">
        <f>IF(ISNUMBER(FIND("piscina",S14)), 1, 0)</f>
        <v>0</v>
      </c>
      <c r="AB14" s="43">
        <f>IF(OR(ISNUMBER(FIND("acessível",S14)),ISNUMBER(FIND("deficiência",S14)), ISNUMBER(FIND("cadeirante",S14)), ISNUMBER(FIND("PCD",S14))), 1, 0)</f>
        <v>0</v>
      </c>
      <c r="AC14" s="43">
        <f t="shared" si="5"/>
        <v>1</v>
      </c>
      <c r="AD14" s="46" t="s">
        <v>260</v>
      </c>
      <c r="AE14" s="43" t="s">
        <v>394</v>
      </c>
      <c r="AF14" s="43" t="s">
        <v>463</v>
      </c>
      <c r="AG14" s="43" t="s">
        <v>1064</v>
      </c>
      <c r="AH14" s="39" t="s">
        <v>527</v>
      </c>
      <c r="AI14" s="48" t="s">
        <v>529</v>
      </c>
    </row>
    <row r="15" spans="1:35" ht="18" thickBot="1" x14ac:dyDescent="0.4">
      <c r="A15" s="38" t="s">
        <v>32</v>
      </c>
      <c r="B15" s="39" t="s">
        <v>166</v>
      </c>
      <c r="C15" s="39" t="s">
        <v>183</v>
      </c>
      <c r="D15" s="43" t="s">
        <v>690</v>
      </c>
      <c r="E15" s="50" t="s">
        <v>689</v>
      </c>
      <c r="F15" s="42">
        <v>0.80337000000000003</v>
      </c>
      <c r="G15" s="42" t="str">
        <f t="shared" si="6"/>
        <v>Até 1km</v>
      </c>
      <c r="H15" s="43" t="s">
        <v>211</v>
      </c>
      <c r="I15" s="43">
        <v>284</v>
      </c>
      <c r="J15" s="44">
        <v>247.44</v>
      </c>
      <c r="K15" s="44" t="str">
        <f t="shared" si="7"/>
        <v>Médio</v>
      </c>
      <c r="L15" s="43" t="s">
        <v>215</v>
      </c>
      <c r="M15" s="43" t="s">
        <v>218</v>
      </c>
      <c r="N15" s="43" t="s">
        <v>220</v>
      </c>
      <c r="O15" s="43">
        <v>3.9</v>
      </c>
      <c r="P15" s="45">
        <f>(Tabela1[Avaliação Média (0-5)] * 20) / Tabela1[Preço Médio da Diária (R$)] * 10</f>
        <v>3.1522793404461686</v>
      </c>
      <c r="Q15" s="42" t="str">
        <f t="shared" si="0"/>
        <v>Regular</v>
      </c>
      <c r="R15" s="43">
        <v>2</v>
      </c>
      <c r="S15" s="46" t="s">
        <v>964</v>
      </c>
      <c r="T15" s="43">
        <f t="shared" si="1"/>
        <v>1</v>
      </c>
      <c r="U15" s="46">
        <f t="shared" si="2"/>
        <v>1</v>
      </c>
      <c r="V15" s="46">
        <f>IF(OR(ISNUMBER(FIND("café da manhã",S15)), ISNUMBER(FIND("café da manha",O15)), ISNUMBER(FIND("cafe da manha",S15)), ISNUMBER(FIND("café da amanhã incluído",S15))), 1, 0)</f>
        <v>1</v>
      </c>
      <c r="W15" s="46">
        <f t="shared" si="3"/>
        <v>1</v>
      </c>
      <c r="X15" s="43">
        <f>IF(OR(ISNUMBER(FIND("serviço de quarto",S15)), ISNUMBER(FIND("servico de quarto",O15)), ISNUMBER(FIND("room service",S15))), 1, 0)</f>
        <v>0</v>
      </c>
      <c r="Y15" s="43">
        <f t="shared" si="4"/>
        <v>1</v>
      </c>
      <c r="Z15" s="43">
        <f>IF(OR(ISNUMBER(FIND("academia",S15)), ISNUMBER(FIND("fitness",S15)), ISNUMBER(FIND("ginásio",S15))), 1, 0)</f>
        <v>0</v>
      </c>
      <c r="AA15" s="43">
        <f>IF(ISNUMBER(FIND("piscina",S15)), 1, 0)</f>
        <v>0</v>
      </c>
      <c r="AB15" s="43">
        <f t="shared" si="8"/>
        <v>1</v>
      </c>
      <c r="AC15" s="43">
        <f t="shared" si="5"/>
        <v>1</v>
      </c>
      <c r="AD15" s="46" t="s">
        <v>261</v>
      </c>
      <c r="AE15" s="43" t="s">
        <v>395</v>
      </c>
      <c r="AF15" s="43" t="s">
        <v>464</v>
      </c>
      <c r="AG15" s="43" t="s">
        <v>1066</v>
      </c>
      <c r="AH15" s="39" t="s">
        <v>528</v>
      </c>
      <c r="AI15" s="48" t="s">
        <v>531</v>
      </c>
    </row>
    <row r="16" spans="1:35" ht="18" thickBot="1" x14ac:dyDescent="0.4">
      <c r="A16" s="38" t="s">
        <v>33</v>
      </c>
      <c r="B16" s="39" t="s">
        <v>167</v>
      </c>
      <c r="C16" s="39" t="s">
        <v>178</v>
      </c>
      <c r="D16" s="43" t="s">
        <v>691</v>
      </c>
      <c r="E16" s="50" t="s">
        <v>692</v>
      </c>
      <c r="F16" s="42">
        <v>1.2</v>
      </c>
      <c r="G16" s="42" t="str">
        <f t="shared" si="6"/>
        <v>1-2km</v>
      </c>
      <c r="H16" s="43" t="s">
        <v>211</v>
      </c>
      <c r="I16" s="43">
        <v>21</v>
      </c>
      <c r="J16" s="44">
        <v>178.66</v>
      </c>
      <c r="K16" s="44" t="str">
        <f t="shared" si="7"/>
        <v>Econômico</v>
      </c>
      <c r="L16" s="43" t="s">
        <v>215</v>
      </c>
      <c r="M16" s="43" t="s">
        <v>218</v>
      </c>
      <c r="N16" s="43" t="s">
        <v>220</v>
      </c>
      <c r="O16" s="43">
        <v>4</v>
      </c>
      <c r="P16" s="45">
        <f>(Tabela1[Avaliação Média (0-5)] * 20) / Tabela1[Preço Médio da Diária (R$)] * 10</f>
        <v>4.4777790216052837</v>
      </c>
      <c r="Q16" s="42" t="str">
        <f t="shared" si="0"/>
        <v>Bom</v>
      </c>
      <c r="R16" s="43">
        <v>2</v>
      </c>
      <c r="S16" s="46" t="s">
        <v>993</v>
      </c>
      <c r="T16" s="43">
        <f t="shared" si="1"/>
        <v>1</v>
      </c>
      <c r="U16" s="46">
        <f t="shared" si="2"/>
        <v>1</v>
      </c>
      <c r="V16" s="46">
        <f>IF(OR(ISNUMBER(FIND("café da manhã",S16)), ISNUMBER(FIND("café da manha",O16)), ISNUMBER(FIND("cafe da manha",S16)), ISNUMBER(FIND("café da amanhã incluído",S16))), 1, 0)</f>
        <v>1</v>
      </c>
      <c r="W16" s="46">
        <f>IF(OR(ISNUMBER(FIND("estacionamento",S16)),ISNUMBER(FIND("estaciona",S16))), 1, 0)</f>
        <v>0</v>
      </c>
      <c r="X16" s="43">
        <f>IF(OR(ISNUMBER(FIND("serviço de quarto",S16)), ISNUMBER(FIND("servico de quarto",O16)), ISNUMBER(FIND("room service",S16))), 1, 0)</f>
        <v>1</v>
      </c>
      <c r="Y16" s="43">
        <f>IF(OR(ISNUMBER(FIND("restaurante",S16)), ISNUMBER(FIND("bar",S16))), 1, 0)</f>
        <v>0</v>
      </c>
      <c r="Z16" s="43">
        <f>IF(OR(ISNUMBER(FIND("academia",S16)), ISNUMBER(FIND("fitness",S16)), ISNUMBER(FIND("ginásio",S16))), 1, 0)</f>
        <v>0</v>
      </c>
      <c r="AA16" s="43">
        <f>IF(ISNUMBER(FIND("piscina",S16)), 1, 0)</f>
        <v>0</v>
      </c>
      <c r="AB16" s="43">
        <f>IF(OR(ISNUMBER(FIND("acessível",S16)),ISNUMBER(FIND("deficiência",S16)), ISNUMBER(FIND("cadeirante",S16)), ISNUMBER(FIND("PCD",S16))), 1, 0)</f>
        <v>0</v>
      </c>
      <c r="AC16" s="43">
        <f t="shared" si="5"/>
        <v>1</v>
      </c>
      <c r="AD16" s="46" t="s">
        <v>262</v>
      </c>
      <c r="AE16" s="43" t="s">
        <v>396</v>
      </c>
      <c r="AF16" s="43" t="s">
        <v>465</v>
      </c>
      <c r="AG16" s="43" t="s">
        <v>1064</v>
      </c>
      <c r="AH16" s="39" t="s">
        <v>527</v>
      </c>
      <c r="AI16" s="48" t="s">
        <v>529</v>
      </c>
    </row>
    <row r="17" spans="1:35" ht="18" thickBot="1" x14ac:dyDescent="0.4">
      <c r="A17" s="38" t="s">
        <v>34</v>
      </c>
      <c r="B17" s="39" t="s">
        <v>168</v>
      </c>
      <c r="C17" s="39" t="s">
        <v>183</v>
      </c>
      <c r="D17" s="43" t="s">
        <v>693</v>
      </c>
      <c r="E17" s="50" t="s">
        <v>694</v>
      </c>
      <c r="F17" s="42">
        <v>1.21</v>
      </c>
      <c r="G17" s="42" t="str">
        <f t="shared" si="6"/>
        <v>1-2km</v>
      </c>
      <c r="H17" s="43" t="s">
        <v>211</v>
      </c>
      <c r="I17" s="43">
        <v>30</v>
      </c>
      <c r="J17" s="44">
        <v>259.81</v>
      </c>
      <c r="K17" s="44" t="str">
        <f t="shared" si="7"/>
        <v>Médio</v>
      </c>
      <c r="L17" s="43" t="s">
        <v>215</v>
      </c>
      <c r="M17" s="43" t="s">
        <v>218</v>
      </c>
      <c r="N17" s="43" t="s">
        <v>220</v>
      </c>
      <c r="O17" s="43">
        <v>3.8</v>
      </c>
      <c r="P17" s="45">
        <f>(Tabela1[Avaliação Média (0-5)] * 20) / Tabela1[Preço Médio da Diária (R$)] * 10</f>
        <v>2.9252145798853006</v>
      </c>
      <c r="Q17" s="42" t="str">
        <f t="shared" si="0"/>
        <v>Regular</v>
      </c>
      <c r="R17" s="43">
        <v>2</v>
      </c>
      <c r="S17" s="46" t="s">
        <v>967</v>
      </c>
      <c r="T17" s="43">
        <f t="shared" si="1"/>
        <v>1</v>
      </c>
      <c r="U17" s="46">
        <f t="shared" si="2"/>
        <v>1</v>
      </c>
      <c r="V17" s="46">
        <f>IF(OR(ISNUMBER(FIND("café da manhã",S17)), ISNUMBER(FIND("café da manha",O17)), ISNUMBER(FIND("cafe da manha",S17)), ISNUMBER(FIND("café da amanhã incluído",S17))), 1, 0)</f>
        <v>1</v>
      </c>
      <c r="W17" s="46">
        <f t="shared" si="3"/>
        <v>1</v>
      </c>
      <c r="X17" s="43">
        <f>IF(OR(ISNUMBER(FIND("serviço de quarto",S17)), ISNUMBER(FIND("servico de quarto",O17)), ISNUMBER(FIND("room service",S17))), 1, 0)</f>
        <v>0</v>
      </c>
      <c r="Y17" s="43">
        <f t="shared" si="4"/>
        <v>1</v>
      </c>
      <c r="Z17" s="43">
        <f>IF(OR(ISNUMBER(FIND("academia",S17)), ISNUMBER(FIND("fitness",S17)), ISNUMBER(FIND("ginásio",S17))), 1, 0)</f>
        <v>0</v>
      </c>
      <c r="AA17" s="43">
        <f>IF(ISNUMBER(FIND("piscina",S17)), 1, 0)</f>
        <v>0</v>
      </c>
      <c r="AB17" s="43">
        <f t="shared" si="8"/>
        <v>1</v>
      </c>
      <c r="AC17" s="43">
        <f t="shared" si="5"/>
        <v>1</v>
      </c>
      <c r="AD17" s="46" t="s">
        <v>263</v>
      </c>
      <c r="AE17" s="43" t="s">
        <v>397</v>
      </c>
      <c r="AF17" s="43" t="s">
        <v>466</v>
      </c>
      <c r="AG17" s="43" t="s">
        <v>1064</v>
      </c>
      <c r="AH17" s="39" t="s">
        <v>527</v>
      </c>
      <c r="AI17" s="48" t="s">
        <v>529</v>
      </c>
    </row>
    <row r="18" spans="1:35" ht="18" thickBot="1" x14ac:dyDescent="0.4">
      <c r="A18" s="38" t="s">
        <v>35</v>
      </c>
      <c r="B18" s="39" t="s">
        <v>169</v>
      </c>
      <c r="C18" s="39" t="s">
        <v>184</v>
      </c>
      <c r="D18" s="43" t="s">
        <v>695</v>
      </c>
      <c r="E18" s="50" t="s">
        <v>696</v>
      </c>
      <c r="F18" s="42">
        <v>1.17</v>
      </c>
      <c r="G18" s="42" t="str">
        <f t="shared" si="6"/>
        <v>1-2km</v>
      </c>
      <c r="H18" s="43" t="s">
        <v>211</v>
      </c>
      <c r="I18" s="43">
        <v>40</v>
      </c>
      <c r="J18" s="44">
        <v>150</v>
      </c>
      <c r="K18" s="44" t="str">
        <f t="shared" si="7"/>
        <v>Econômico</v>
      </c>
      <c r="L18" s="43" t="s">
        <v>215</v>
      </c>
      <c r="M18" s="43" t="s">
        <v>217</v>
      </c>
      <c r="N18" s="43" t="s">
        <v>220</v>
      </c>
      <c r="O18" s="43">
        <v>3.7</v>
      </c>
      <c r="P18" s="45">
        <f>(Tabela1[Avaliação Média (0-5)] * 20) / Tabela1[Preço Médio da Diária (R$)] * 10</f>
        <v>4.9333333333333336</v>
      </c>
      <c r="Q18" s="42" t="str">
        <f t="shared" si="0"/>
        <v>Bom</v>
      </c>
      <c r="R18" s="43">
        <v>2</v>
      </c>
      <c r="S18" s="46" t="s">
        <v>231</v>
      </c>
      <c r="T18" s="43">
        <f t="shared" si="1"/>
        <v>1</v>
      </c>
      <c r="U18" s="46">
        <f t="shared" si="2"/>
        <v>1</v>
      </c>
      <c r="V18" s="46">
        <f>IF(OR(ISNUMBER(FIND("café da manhã",S18)), ISNUMBER(FIND("café da manha",O18)), ISNUMBER(FIND("cafe da manha",S18)), ISNUMBER(FIND("café da amanhã incluído",S18))), 1, 0)</f>
        <v>1</v>
      </c>
      <c r="W18" s="46">
        <f>IF(OR(ISNUMBER(FIND("estacionamento",S18)),ISNUMBER(FIND("estaciona",S18))), 1, 0)</f>
        <v>0</v>
      </c>
      <c r="X18" s="43">
        <f>IF(OR(ISNUMBER(FIND("serviço de quarto",S18)), ISNUMBER(FIND("servico de quarto",O18)), ISNUMBER(FIND("room service",S18))), 1, 0)</f>
        <v>0</v>
      </c>
      <c r="Y18" s="43">
        <f>IF(OR(ISNUMBER(FIND("restaurante",S18)), ISNUMBER(FIND("bar",S18))), 1, 0)</f>
        <v>0</v>
      </c>
      <c r="Z18" s="43">
        <f>IF(OR(ISNUMBER(FIND("academia",S18)), ISNUMBER(FIND("fitness",S18)), ISNUMBER(FIND("ginásio",S18))), 1, 0)</f>
        <v>0</v>
      </c>
      <c r="AA18" s="43">
        <f>IF(ISNUMBER(FIND("piscina",S18)), 1, 0)</f>
        <v>0</v>
      </c>
      <c r="AB18" s="43">
        <f>IF(OR(ISNUMBER(FIND("acessível",S18)),ISNUMBER(FIND("deficiência",S18)), ISNUMBER(FIND("cadeirante",S18)), ISNUMBER(FIND("PCD",S18))), 1, 0)</f>
        <v>0</v>
      </c>
      <c r="AC18" s="43">
        <f t="shared" si="5"/>
        <v>1</v>
      </c>
      <c r="AD18" s="46" t="s">
        <v>264</v>
      </c>
      <c r="AE18" s="43" t="s">
        <v>398</v>
      </c>
      <c r="AF18" s="43" t="s">
        <v>467</v>
      </c>
      <c r="AG18" s="43" t="s">
        <v>1064</v>
      </c>
      <c r="AH18" s="39" t="s">
        <v>527</v>
      </c>
      <c r="AI18" s="48" t="s">
        <v>529</v>
      </c>
    </row>
    <row r="19" spans="1:35" ht="18" thickBot="1" x14ac:dyDescent="0.4">
      <c r="A19" s="38" t="s">
        <v>36</v>
      </c>
      <c r="B19" s="39" t="s">
        <v>625</v>
      </c>
      <c r="C19" s="39" t="s">
        <v>181</v>
      </c>
      <c r="D19" s="43" t="s">
        <v>697</v>
      </c>
      <c r="E19" s="50" t="s">
        <v>698</v>
      </c>
      <c r="F19" s="42">
        <v>2.65</v>
      </c>
      <c r="G19" s="42" t="str">
        <f t="shared" si="6"/>
        <v>2-3km</v>
      </c>
      <c r="H19" s="43" t="s">
        <v>211</v>
      </c>
      <c r="I19" s="43">
        <v>31</v>
      </c>
      <c r="J19" s="44">
        <v>174</v>
      </c>
      <c r="K19" s="44" t="str">
        <f t="shared" si="7"/>
        <v>Econômico</v>
      </c>
      <c r="L19" s="43" t="s">
        <v>215</v>
      </c>
      <c r="M19" s="43" t="s">
        <v>218</v>
      </c>
      <c r="N19" s="43" t="s">
        <v>220</v>
      </c>
      <c r="O19" s="43">
        <v>4.3</v>
      </c>
      <c r="P19" s="45">
        <f>(Tabela1[Avaliação Média (0-5)] * 20) / Tabela1[Preço Médio da Diária (R$)] * 10</f>
        <v>4.9425287356321839</v>
      </c>
      <c r="Q19" s="42" t="str">
        <f t="shared" si="0"/>
        <v>Bom</v>
      </c>
      <c r="R19" s="43">
        <v>2</v>
      </c>
      <c r="S19" s="46" t="s">
        <v>994</v>
      </c>
      <c r="T19" s="43">
        <f t="shared" si="1"/>
        <v>1</v>
      </c>
      <c r="U19" s="46">
        <f t="shared" si="2"/>
        <v>1</v>
      </c>
      <c r="V19" s="46">
        <f>IF(OR(ISNUMBER(FIND("café da manhã",S19)), ISNUMBER(FIND("café da manha",O19)), ISNUMBER(FIND("cafe da manha",S19)), ISNUMBER(FIND("café da amanhã incluído",S19))), 1, 0)</f>
        <v>1</v>
      </c>
      <c r="W19" s="46">
        <f>IF(OR(ISNUMBER(FIND("estacionamento",S19)),ISNUMBER(FIND("estaciona",S19))), 1, 0)</f>
        <v>0</v>
      </c>
      <c r="X19" s="43">
        <f>IF(OR(ISNUMBER(FIND("serviço de quarto",S19)), ISNUMBER(FIND("servico de quarto",O19)), ISNUMBER(FIND("room service",S19))), 1, 0)</f>
        <v>1</v>
      </c>
      <c r="Y19" s="43">
        <f>IF(OR(ISNUMBER(FIND("restaurante",S19)), ISNUMBER(FIND("bar",S19))), 1, 0)</f>
        <v>0</v>
      </c>
      <c r="Z19" s="43">
        <f>IF(OR(ISNUMBER(FIND("academia",S19)), ISNUMBER(FIND("fitness",S19)), ISNUMBER(FIND("ginásio",S19))), 1, 0)</f>
        <v>0</v>
      </c>
      <c r="AA19" s="43">
        <f>IF(ISNUMBER(FIND("piscina",S19)), 1, 0)</f>
        <v>0</v>
      </c>
      <c r="AB19" s="43">
        <f>IF(OR(ISNUMBER(FIND("acessível",S19)),ISNUMBER(FIND("deficiência",S19)), ISNUMBER(FIND("cadeirante",S19)), ISNUMBER(FIND("PCD",S19))), 1, 0)</f>
        <v>0</v>
      </c>
      <c r="AC19" s="43">
        <f t="shared" si="5"/>
        <v>1</v>
      </c>
      <c r="AD19" s="46" t="s">
        <v>265</v>
      </c>
      <c r="AE19" s="43" t="s">
        <v>399</v>
      </c>
      <c r="AF19" s="43" t="s">
        <v>460</v>
      </c>
      <c r="AG19" s="43" t="s">
        <v>1064</v>
      </c>
      <c r="AH19" s="39" t="s">
        <v>527</v>
      </c>
      <c r="AI19" s="48" t="s">
        <v>529</v>
      </c>
    </row>
    <row r="20" spans="1:35" ht="18" thickBot="1" x14ac:dyDescent="0.4">
      <c r="A20" s="38" t="s">
        <v>37</v>
      </c>
      <c r="B20" s="39" t="s">
        <v>170</v>
      </c>
      <c r="C20" s="39" t="s">
        <v>185</v>
      </c>
      <c r="D20" s="43" t="s">
        <v>699</v>
      </c>
      <c r="E20" s="50" t="s">
        <v>700</v>
      </c>
      <c r="F20" s="42">
        <v>1.24</v>
      </c>
      <c r="G20" s="42" t="str">
        <f t="shared" si="6"/>
        <v>1-2km</v>
      </c>
      <c r="H20" s="43" t="s">
        <v>211</v>
      </c>
      <c r="I20" s="43">
        <v>27</v>
      </c>
      <c r="J20" s="44">
        <v>163.95</v>
      </c>
      <c r="K20" s="44" t="str">
        <f t="shared" si="7"/>
        <v>Econômico</v>
      </c>
      <c r="L20" s="43" t="s">
        <v>215</v>
      </c>
      <c r="M20" s="43" t="s">
        <v>218</v>
      </c>
      <c r="N20" s="43" t="s">
        <v>220</v>
      </c>
      <c r="O20" s="43">
        <v>4</v>
      </c>
      <c r="P20" s="45">
        <f>(Tabela1[Avaliação Média (0-5)] * 20) / Tabela1[Preço Médio da Diária (R$)] * 10</f>
        <v>4.8795364440378171</v>
      </c>
      <c r="Q20" s="42" t="str">
        <f t="shared" si="0"/>
        <v>Bom</v>
      </c>
      <c r="R20" s="43">
        <v>2</v>
      </c>
      <c r="S20" s="46" t="s">
        <v>995</v>
      </c>
      <c r="T20" s="43">
        <f t="shared" si="1"/>
        <v>1</v>
      </c>
      <c r="U20" s="46">
        <f t="shared" si="2"/>
        <v>0</v>
      </c>
      <c r="V20" s="46">
        <f>IF(OR(ISNUMBER(FIND("café da manhã",S20)), ISNUMBER(FIND("café da manha",O20)), ISNUMBER(FIND("cafe da manha",S20)), ISNUMBER(FIND("café da amanhã incluído",S20))), 1, 0)</f>
        <v>0</v>
      </c>
      <c r="W20" s="46">
        <f>IF(OR(ISNUMBER(FIND("estacionamento",S20)),ISNUMBER(FIND("estaciona",S20))), 1, 0)</f>
        <v>0</v>
      </c>
      <c r="X20" s="43">
        <f>IF(OR(ISNUMBER(FIND("serviço de quarto",S20)), ISNUMBER(FIND("servico de quarto",O20)), ISNUMBER(FIND("room service",S20))), 1, 0)</f>
        <v>1</v>
      </c>
      <c r="Y20" s="43">
        <f>IF(OR(ISNUMBER(FIND("restaurante",S20)), ISNUMBER(FIND("bar",S20))), 1, 0)</f>
        <v>0</v>
      </c>
      <c r="Z20" s="43">
        <f>IF(OR(ISNUMBER(FIND("academia",S20)), ISNUMBER(FIND("fitness",S20)), ISNUMBER(FIND("ginásio",S20))), 1, 0)</f>
        <v>0</v>
      </c>
      <c r="AA20" s="43">
        <f>IF(ISNUMBER(FIND("piscina",S20)), 1, 0)</f>
        <v>0</v>
      </c>
      <c r="AB20" s="43">
        <f>IF(OR(ISNUMBER(FIND("acessível",S20)),ISNUMBER(FIND("deficiência",S20)), ISNUMBER(FIND("cadeirante",S20)), ISNUMBER(FIND("PCD",S20))), 1, 0)</f>
        <v>0</v>
      </c>
      <c r="AC20" s="43">
        <f t="shared" si="5"/>
        <v>1</v>
      </c>
      <c r="AD20" s="46" t="s">
        <v>266</v>
      </c>
      <c r="AE20" s="43" t="s">
        <v>400</v>
      </c>
      <c r="AF20" s="43" t="s">
        <v>468</v>
      </c>
      <c r="AG20" s="43" t="s">
        <v>1064</v>
      </c>
      <c r="AH20" s="39" t="s">
        <v>527</v>
      </c>
      <c r="AI20" s="48" t="s">
        <v>529</v>
      </c>
    </row>
    <row r="21" spans="1:35" ht="18" thickBot="1" x14ac:dyDescent="0.4">
      <c r="A21" s="38" t="s">
        <v>38</v>
      </c>
      <c r="B21" s="39" t="s">
        <v>626</v>
      </c>
      <c r="C21" s="39" t="s">
        <v>181</v>
      </c>
      <c r="D21" s="43" t="s">
        <v>701</v>
      </c>
      <c r="E21" s="50" t="s">
        <v>702</v>
      </c>
      <c r="F21" s="42">
        <v>2.95</v>
      </c>
      <c r="G21" s="42" t="str">
        <f t="shared" si="6"/>
        <v>2-3km</v>
      </c>
      <c r="H21" s="43" t="s">
        <v>211</v>
      </c>
      <c r="I21" s="43">
        <v>54</v>
      </c>
      <c r="J21" s="44">
        <v>110</v>
      </c>
      <c r="K21" s="44" t="str">
        <f t="shared" si="7"/>
        <v>Econômico</v>
      </c>
      <c r="L21" s="43" t="s">
        <v>215</v>
      </c>
      <c r="M21" s="43" t="s">
        <v>218</v>
      </c>
      <c r="N21" s="43" t="s">
        <v>220</v>
      </c>
      <c r="O21" s="43">
        <v>3.2</v>
      </c>
      <c r="P21" s="45">
        <f>(Tabela1[Avaliação Média (0-5)] * 20) / Tabela1[Preço Médio da Diária (R$)] * 10</f>
        <v>5.8181818181818183</v>
      </c>
      <c r="Q21" s="42" t="str">
        <f t="shared" si="0"/>
        <v>Bom</v>
      </c>
      <c r="R21" s="43">
        <v>2</v>
      </c>
      <c r="S21" s="46" t="s">
        <v>232</v>
      </c>
      <c r="T21" s="43">
        <f t="shared" si="1"/>
        <v>1</v>
      </c>
      <c r="U21" s="46">
        <f t="shared" si="2"/>
        <v>0</v>
      </c>
      <c r="V21" s="46">
        <f>IF(OR(ISNUMBER(FIND("café da manhã",S21)), ISNUMBER(FIND("café da manha",O21)), ISNUMBER(FIND("cafe da manha",S21)), ISNUMBER(FIND("café da amanhã incluído",S21))), 1, 0)</f>
        <v>0</v>
      </c>
      <c r="W21" s="46">
        <f>IF(OR(ISNUMBER(FIND("estacionamento",S21)),ISNUMBER(FIND("estaciona",S21))), 1, 0)</f>
        <v>0</v>
      </c>
      <c r="X21" s="43">
        <f>IF(OR(ISNUMBER(FIND("serviço de quarto",S21)), ISNUMBER(FIND("servico de quarto",O21)), ISNUMBER(FIND("room service",S21))), 1, 0)</f>
        <v>0</v>
      </c>
      <c r="Y21" s="43">
        <f>IF(OR(ISNUMBER(FIND("restaurante",S21)), ISNUMBER(FIND("bar",S21))), 1, 0)</f>
        <v>0</v>
      </c>
      <c r="Z21" s="43">
        <f>IF(OR(ISNUMBER(FIND("academia",S21)), ISNUMBER(FIND("fitness",S21)), ISNUMBER(FIND("ginásio",S21))), 1, 0)</f>
        <v>0</v>
      </c>
      <c r="AA21" s="43">
        <f>IF(ISNUMBER(FIND("piscina",S21)), 1, 0)</f>
        <v>0</v>
      </c>
      <c r="AB21" s="43">
        <f>IF(OR(ISNUMBER(FIND("acessível",S21)),ISNUMBER(FIND("deficiência",S21)), ISNUMBER(FIND("cadeirante",S21)), ISNUMBER(FIND("PCD",S21))), 1, 0)</f>
        <v>0</v>
      </c>
      <c r="AC21" s="43">
        <f t="shared" si="5"/>
        <v>1</v>
      </c>
      <c r="AD21" s="46" t="s">
        <v>267</v>
      </c>
      <c r="AE21" s="43" t="s">
        <v>401</v>
      </c>
      <c r="AF21" s="43" t="s">
        <v>469</v>
      </c>
      <c r="AG21" s="43" t="s">
        <v>1064</v>
      </c>
      <c r="AH21" s="39" t="s">
        <v>527</v>
      </c>
      <c r="AI21" s="48" t="s">
        <v>529</v>
      </c>
    </row>
    <row r="22" spans="1:35" ht="18" thickBot="1" x14ac:dyDescent="0.4">
      <c r="A22" s="38" t="s">
        <v>39</v>
      </c>
      <c r="B22" s="39" t="s">
        <v>171</v>
      </c>
      <c r="C22" s="39" t="s">
        <v>184</v>
      </c>
      <c r="D22" s="43" t="s">
        <v>703</v>
      </c>
      <c r="E22" s="50" t="s">
        <v>704</v>
      </c>
      <c r="F22" s="42">
        <v>1.1100000000000001</v>
      </c>
      <c r="G22" s="42" t="str">
        <f t="shared" si="6"/>
        <v>1-2km</v>
      </c>
      <c r="H22" s="43" t="s">
        <v>211</v>
      </c>
      <c r="I22" s="43">
        <v>19</v>
      </c>
      <c r="J22" s="44">
        <v>180.25</v>
      </c>
      <c r="K22" s="44" t="str">
        <f t="shared" si="7"/>
        <v>Econômico</v>
      </c>
      <c r="L22" s="43" t="s">
        <v>215</v>
      </c>
      <c r="M22" s="43" t="s">
        <v>218</v>
      </c>
      <c r="N22" s="43" t="s">
        <v>220</v>
      </c>
      <c r="O22" s="43">
        <v>4</v>
      </c>
      <c r="P22" s="45">
        <f>(Tabela1[Avaliação Média (0-5)] * 20) / Tabela1[Preço Médio da Diária (R$)] * 10</f>
        <v>4.438280166435506</v>
      </c>
      <c r="Q22" s="42" t="str">
        <f t="shared" si="0"/>
        <v>Bom</v>
      </c>
      <c r="R22" s="43">
        <v>2</v>
      </c>
      <c r="S22" s="46" t="s">
        <v>968</v>
      </c>
      <c r="T22" s="43">
        <f t="shared" si="1"/>
        <v>1</v>
      </c>
      <c r="U22" s="46">
        <f t="shared" si="2"/>
        <v>1</v>
      </c>
      <c r="V22" s="46">
        <f>IF(OR(ISNUMBER(FIND("café da manhã",S22)), ISNUMBER(FIND("café da manha",O22)), ISNUMBER(FIND("cafe da manha",S22)), ISNUMBER(FIND("café da amanhã incluído",S22))), 1, 0)</f>
        <v>1</v>
      </c>
      <c r="W22" s="46">
        <f>IF(OR(ISNUMBER(FIND("estacionamento",S22)),ISNUMBER(FIND("estaciona",S22))), 1, 0)</f>
        <v>0</v>
      </c>
      <c r="X22" s="43">
        <f>IF(OR(ISNUMBER(FIND("serviço de quarto",S22)), ISNUMBER(FIND("servico de quarto",O22)), ISNUMBER(FIND("room service",S22))), 1, 0)</f>
        <v>0</v>
      </c>
      <c r="Y22" s="43">
        <f>IF(OR(ISNUMBER(FIND("restaurante",S22)), ISNUMBER(FIND("bar",S22))), 1, 0)</f>
        <v>0</v>
      </c>
      <c r="Z22" s="43">
        <f>IF(OR(ISNUMBER(FIND("academia",S22)), ISNUMBER(FIND("fitness",S22)), ISNUMBER(FIND("ginásio",S22))), 1, 0)</f>
        <v>0</v>
      </c>
      <c r="AA22" s="43">
        <f>IF(ISNUMBER(FIND("piscina",S22)), 1, 0)</f>
        <v>0</v>
      </c>
      <c r="AB22" s="43">
        <f>IF(OR(ISNUMBER(FIND("acessível",S22)),ISNUMBER(FIND("deficiência",S22)), ISNUMBER(FIND("cadeirante",S22)), ISNUMBER(FIND("PCD",S22))), 1, 0)</f>
        <v>0</v>
      </c>
      <c r="AC22" s="43">
        <f t="shared" si="5"/>
        <v>1</v>
      </c>
      <c r="AD22" s="46" t="s">
        <v>268</v>
      </c>
      <c r="AE22" s="43" t="s">
        <v>402</v>
      </c>
      <c r="AF22" s="43" t="s">
        <v>470</v>
      </c>
      <c r="AG22" s="43" t="s">
        <v>1064</v>
      </c>
      <c r="AH22" s="39" t="s">
        <v>527</v>
      </c>
      <c r="AI22" s="48" t="s">
        <v>529</v>
      </c>
    </row>
    <row r="23" spans="1:35" ht="18" thickBot="1" x14ac:dyDescent="0.4">
      <c r="A23" s="38" t="s">
        <v>40</v>
      </c>
      <c r="B23" s="39" t="s">
        <v>627</v>
      </c>
      <c r="C23" s="39" t="s">
        <v>186</v>
      </c>
      <c r="D23" s="43" t="s">
        <v>705</v>
      </c>
      <c r="E23" s="50" t="s">
        <v>706</v>
      </c>
      <c r="F23" s="42">
        <v>2.89</v>
      </c>
      <c r="G23" s="42" t="str">
        <f t="shared" si="6"/>
        <v>2-3km</v>
      </c>
      <c r="H23" s="43" t="s">
        <v>212</v>
      </c>
      <c r="I23" s="43"/>
      <c r="J23" s="44">
        <v>110</v>
      </c>
      <c r="K23" s="44" t="str">
        <f t="shared" si="7"/>
        <v>Econômico</v>
      </c>
      <c r="L23" s="43" t="s">
        <v>215</v>
      </c>
      <c r="M23" s="43" t="s">
        <v>218</v>
      </c>
      <c r="N23" s="43" t="s">
        <v>220</v>
      </c>
      <c r="O23" s="43">
        <v>4.7</v>
      </c>
      <c r="P23" s="45">
        <f>(Tabela1[Avaliação Média (0-5)] * 20) / Tabela1[Preço Médio da Diária (R$)] * 10</f>
        <v>8.545454545454545</v>
      </c>
      <c r="Q23" s="42" t="str">
        <f t="shared" si="0"/>
        <v>Excelente</v>
      </c>
      <c r="R23" s="43">
        <v>2</v>
      </c>
      <c r="S23" s="46" t="s">
        <v>233</v>
      </c>
      <c r="T23" s="43">
        <f t="shared" si="1"/>
        <v>1</v>
      </c>
      <c r="U23" s="46">
        <f t="shared" si="2"/>
        <v>0</v>
      </c>
      <c r="V23" s="46">
        <f>IF(OR(ISNUMBER(FIND("café da manhã",S23)), ISNUMBER(FIND("café da manha",O23)), ISNUMBER(FIND("cafe da manha",S23)), ISNUMBER(FIND("café da amanhã incluído",S23))), 1, 0)</f>
        <v>0</v>
      </c>
      <c r="W23" s="46">
        <f>IF(OR(ISNUMBER(FIND("estacionamento",S23)),ISNUMBER(FIND("estaciona",S23))), 1, 0)</f>
        <v>0</v>
      </c>
      <c r="X23" s="43">
        <f>IF(OR(ISNUMBER(FIND("serviço de quarto",S23)), ISNUMBER(FIND("servico de quarto",O23)), ISNUMBER(FIND("room service",S23))), 1, 0)</f>
        <v>0</v>
      </c>
      <c r="Y23" s="43">
        <f>IF(OR(ISNUMBER(FIND("restaurante",S23)), ISNUMBER(FIND("bar",S23))), 1, 0)</f>
        <v>0</v>
      </c>
      <c r="Z23" s="43">
        <f>IF(OR(ISNUMBER(FIND("academia",S23)), ISNUMBER(FIND("fitness",S23)), ISNUMBER(FIND("ginásio",S23))), 1, 0)</f>
        <v>0</v>
      </c>
      <c r="AA23" s="43">
        <f>IF(ISNUMBER(FIND("piscina",S23)), 1, 0)</f>
        <v>0</v>
      </c>
      <c r="AB23" s="43">
        <f>IF(OR(ISNUMBER(FIND("acessível",S23)),ISNUMBER(FIND("deficiência",S23)), ISNUMBER(FIND("cadeirante",S23)), ISNUMBER(FIND("PCD",S23))), 1, 0)</f>
        <v>0</v>
      </c>
      <c r="AC23" s="43">
        <f t="shared" si="5"/>
        <v>1</v>
      </c>
      <c r="AD23" s="46" t="s">
        <v>269</v>
      </c>
      <c r="AE23" s="43" t="s">
        <v>403</v>
      </c>
      <c r="AF23" s="43" t="s">
        <v>471</v>
      </c>
      <c r="AG23" s="43" t="s">
        <v>1064</v>
      </c>
      <c r="AH23" s="39" t="s">
        <v>527</v>
      </c>
      <c r="AI23" s="48" t="s">
        <v>529</v>
      </c>
    </row>
    <row r="24" spans="1:35" ht="18" thickBot="1" x14ac:dyDescent="0.4">
      <c r="A24" s="38" t="s">
        <v>41</v>
      </c>
      <c r="B24" s="39" t="s">
        <v>172</v>
      </c>
      <c r="C24" s="39" t="s">
        <v>185</v>
      </c>
      <c r="D24" s="43" t="s">
        <v>707</v>
      </c>
      <c r="E24" s="50" t="s">
        <v>708</v>
      </c>
      <c r="F24" s="42">
        <v>1.47</v>
      </c>
      <c r="G24" s="42" t="str">
        <f t="shared" si="6"/>
        <v>1-2km</v>
      </c>
      <c r="H24" s="43" t="s">
        <v>211</v>
      </c>
      <c r="I24" s="43">
        <v>6</v>
      </c>
      <c r="J24" s="44">
        <v>120</v>
      </c>
      <c r="K24" s="44" t="str">
        <f t="shared" si="7"/>
        <v>Econômico</v>
      </c>
      <c r="L24" s="43" t="s">
        <v>215</v>
      </c>
      <c r="M24" s="43" t="s">
        <v>218</v>
      </c>
      <c r="N24" s="43" t="s">
        <v>220</v>
      </c>
      <c r="O24" s="43">
        <v>4</v>
      </c>
      <c r="P24" s="45">
        <f>(Tabela1[Avaliação Média (0-5)] * 20) / Tabela1[Preço Médio da Diária (R$)] * 10</f>
        <v>6.6666666666666661</v>
      </c>
      <c r="Q24" s="42" t="str">
        <f t="shared" si="0"/>
        <v>Excelente</v>
      </c>
      <c r="R24" s="43">
        <v>2</v>
      </c>
      <c r="S24" s="46" t="s">
        <v>234</v>
      </c>
      <c r="T24" s="43">
        <f t="shared" si="1"/>
        <v>1</v>
      </c>
      <c r="U24" s="46">
        <f t="shared" si="2"/>
        <v>1</v>
      </c>
      <c r="V24" s="46">
        <f>IF(OR(ISNUMBER(FIND("café da manhã",S24)), ISNUMBER(FIND("café da manha",O24)), ISNUMBER(FIND("cafe da manha",S24)), ISNUMBER(FIND("café da amanhã incluído",S24))), 1, 0)</f>
        <v>0</v>
      </c>
      <c r="W24" s="46">
        <f>IF(OR(ISNUMBER(FIND("estacionamento",S24)),ISNUMBER(FIND("estaciona",S24))), 1, 0)</f>
        <v>0</v>
      </c>
      <c r="X24" s="43">
        <f>IF(OR(ISNUMBER(FIND("serviço de quarto",S24)), ISNUMBER(FIND("servico de quarto",O24)), ISNUMBER(FIND("room service",S24))), 1, 0)</f>
        <v>0</v>
      </c>
      <c r="Y24" s="43">
        <f>IF(OR(ISNUMBER(FIND("restaurante",S24)), ISNUMBER(FIND("bar",S24))), 1, 0)</f>
        <v>0</v>
      </c>
      <c r="Z24" s="43">
        <f>IF(OR(ISNUMBER(FIND("academia",S24)), ISNUMBER(FIND("fitness",S24)), ISNUMBER(FIND("ginásio",S24))), 1, 0)</f>
        <v>0</v>
      </c>
      <c r="AA24" s="43">
        <f>IF(ISNUMBER(FIND("piscina",S24)), 1, 0)</f>
        <v>0</v>
      </c>
      <c r="AB24" s="43">
        <f>IF(OR(ISNUMBER(FIND("acessível",S24)),ISNUMBER(FIND("deficiência",S24)), ISNUMBER(FIND("cadeirante",S24)), ISNUMBER(FIND("PCD",S24))), 1, 0)</f>
        <v>0</v>
      </c>
      <c r="AC24" s="43">
        <f t="shared" si="5"/>
        <v>1</v>
      </c>
      <c r="AD24" s="46" t="s">
        <v>270</v>
      </c>
      <c r="AE24" s="43" t="s">
        <v>404</v>
      </c>
      <c r="AF24" s="43" t="s">
        <v>472</v>
      </c>
      <c r="AG24" s="43" t="s">
        <v>1064</v>
      </c>
      <c r="AH24" s="39" t="s">
        <v>527</v>
      </c>
      <c r="AI24" s="48" t="s">
        <v>529</v>
      </c>
    </row>
    <row r="25" spans="1:35" ht="18" thickBot="1" x14ac:dyDescent="0.4">
      <c r="A25" s="38" t="s">
        <v>42</v>
      </c>
      <c r="B25" s="39" t="s">
        <v>173</v>
      </c>
      <c r="C25" s="39" t="s">
        <v>178</v>
      </c>
      <c r="D25" s="43" t="s">
        <v>709</v>
      </c>
      <c r="E25" s="50" t="s">
        <v>710</v>
      </c>
      <c r="F25" s="42">
        <v>1.36</v>
      </c>
      <c r="G25" s="42" t="str">
        <f t="shared" si="6"/>
        <v>1-2km</v>
      </c>
      <c r="H25" s="43" t="s">
        <v>211</v>
      </c>
      <c r="I25" s="43">
        <v>53</v>
      </c>
      <c r="J25" s="44">
        <v>183.5</v>
      </c>
      <c r="K25" s="44" t="str">
        <f t="shared" si="7"/>
        <v>Econômico</v>
      </c>
      <c r="L25" s="43" t="s">
        <v>215</v>
      </c>
      <c r="M25" s="43" t="s">
        <v>218</v>
      </c>
      <c r="N25" s="43" t="s">
        <v>220</v>
      </c>
      <c r="O25" s="43">
        <v>3.8</v>
      </c>
      <c r="P25" s="45">
        <f>(Tabela1[Avaliação Média (0-5)] * 20) / Tabela1[Preço Médio da Diária (R$)] * 10</f>
        <v>4.1416893732970026</v>
      </c>
      <c r="Q25" s="42" t="str">
        <f t="shared" si="0"/>
        <v>Bom</v>
      </c>
      <c r="R25" s="43">
        <v>2</v>
      </c>
      <c r="S25" s="46" t="s">
        <v>996</v>
      </c>
      <c r="T25" s="43">
        <f t="shared" si="1"/>
        <v>1</v>
      </c>
      <c r="U25" s="46">
        <f t="shared" si="2"/>
        <v>0</v>
      </c>
      <c r="V25" s="46">
        <f>IF(OR(ISNUMBER(FIND("café da manhã",S25)), ISNUMBER(FIND("café da manha",O25)), ISNUMBER(FIND("cafe da manha",S25)), ISNUMBER(FIND("café da amanhã incluído",S25))), 1, 0)</f>
        <v>0</v>
      </c>
      <c r="W25" s="46">
        <f>IF(OR(ISNUMBER(FIND("estacionamento",S25)),ISNUMBER(FIND("estaciona",S25))), 1, 0)</f>
        <v>1</v>
      </c>
      <c r="X25" s="43">
        <f>IF(OR(ISNUMBER(FIND("serviço de quarto",S25)), ISNUMBER(FIND("servico de quarto",O25)), ISNUMBER(FIND("room service",S25))), 1, 0)</f>
        <v>1</v>
      </c>
      <c r="Y25" s="43">
        <f>IF(OR(ISNUMBER(FIND("restaurante",S25)), ISNUMBER(FIND("bar",S25))), 1, 0)</f>
        <v>0</v>
      </c>
      <c r="Z25" s="43">
        <f>IF(OR(ISNUMBER(FIND("academia",S25)), ISNUMBER(FIND("fitness",S25)), ISNUMBER(FIND("ginásio",S25))), 1, 0)</f>
        <v>0</v>
      </c>
      <c r="AA25" s="43">
        <f>IF(ISNUMBER(FIND("piscina",S25)), 1, 0)</f>
        <v>0</v>
      </c>
      <c r="AB25" s="43">
        <f>IF(OR(ISNUMBER(FIND("acessível",S25)),ISNUMBER(FIND("deficiência",S25)), ISNUMBER(FIND("cadeirante",S25)), ISNUMBER(FIND("PCD",S25))), 1, 0)</f>
        <v>0</v>
      </c>
      <c r="AC25" s="43">
        <f t="shared" si="5"/>
        <v>1</v>
      </c>
      <c r="AD25" s="46" t="s">
        <v>271</v>
      </c>
      <c r="AE25" s="43" t="s">
        <v>405</v>
      </c>
      <c r="AF25" s="43" t="s">
        <v>473</v>
      </c>
      <c r="AG25" s="43" t="s">
        <v>1067</v>
      </c>
      <c r="AH25" s="39" t="s">
        <v>528</v>
      </c>
      <c r="AI25" s="48" t="s">
        <v>530</v>
      </c>
    </row>
    <row r="26" spans="1:35" ht="18" thickBot="1" x14ac:dyDescent="0.4">
      <c r="A26" s="38" t="s">
        <v>43</v>
      </c>
      <c r="B26" s="39" t="s">
        <v>174</v>
      </c>
      <c r="C26" s="39" t="s">
        <v>187</v>
      </c>
      <c r="D26" s="43" t="s">
        <v>711</v>
      </c>
      <c r="E26" s="50" t="s">
        <v>712</v>
      </c>
      <c r="F26" s="42">
        <v>1.42</v>
      </c>
      <c r="G26" s="42" t="str">
        <f t="shared" si="6"/>
        <v>1-2km</v>
      </c>
      <c r="H26" s="43" t="s">
        <v>211</v>
      </c>
      <c r="I26" s="43">
        <v>74</v>
      </c>
      <c r="J26" s="44">
        <v>168</v>
      </c>
      <c r="K26" s="44" t="str">
        <f t="shared" si="7"/>
        <v>Econômico</v>
      </c>
      <c r="L26" s="43" t="s">
        <v>215</v>
      </c>
      <c r="M26" s="43" t="s">
        <v>217</v>
      </c>
      <c r="N26" s="43" t="s">
        <v>220</v>
      </c>
      <c r="O26" s="43">
        <v>3.9</v>
      </c>
      <c r="P26" s="45">
        <f>(Tabela1[Avaliação Média (0-5)] * 20) / Tabela1[Preço Médio da Diária (R$)] * 10</f>
        <v>4.6428571428571432</v>
      </c>
      <c r="Q26" s="42" t="str">
        <f t="shared" si="0"/>
        <v>Bom</v>
      </c>
      <c r="R26" s="43">
        <v>2</v>
      </c>
      <c r="S26" s="46" t="s">
        <v>235</v>
      </c>
      <c r="T26" s="43">
        <f t="shared" si="1"/>
        <v>1</v>
      </c>
      <c r="U26" s="46">
        <f t="shared" si="2"/>
        <v>1</v>
      </c>
      <c r="V26" s="46">
        <f>IF(OR(ISNUMBER(FIND("café da manhã",S26)), ISNUMBER(FIND("café da manha",O26)), ISNUMBER(FIND("cafe da manha",S26)), ISNUMBER(FIND("café da amanhã incluído",S26))), 1, 0)</f>
        <v>0</v>
      </c>
      <c r="W26" s="46">
        <f>IF(OR(ISNUMBER(FIND("estacionamento",S26)),ISNUMBER(FIND("estaciona",S26))), 1, 0)</f>
        <v>0</v>
      </c>
      <c r="X26" s="43">
        <f>IF(OR(ISNUMBER(FIND("serviço de quarto",S26)), ISNUMBER(FIND("servico de quarto",O26)), ISNUMBER(FIND("room service",S26))), 1, 0)</f>
        <v>0</v>
      </c>
      <c r="Y26" s="43">
        <f>IF(OR(ISNUMBER(FIND("restaurante",S26)), ISNUMBER(FIND("bar",S26))), 1, 0)</f>
        <v>0</v>
      </c>
      <c r="Z26" s="43">
        <f>IF(OR(ISNUMBER(FIND("academia",S26)), ISNUMBER(FIND("fitness",S26)), ISNUMBER(FIND("ginásio",S26))), 1, 0)</f>
        <v>0</v>
      </c>
      <c r="AA26" s="43">
        <f>IF(ISNUMBER(FIND("piscina",S26)), 1, 0)</f>
        <v>0</v>
      </c>
      <c r="AB26" s="43">
        <f t="shared" si="8"/>
        <v>1</v>
      </c>
      <c r="AC26" s="43">
        <f t="shared" si="5"/>
        <v>1</v>
      </c>
      <c r="AD26" s="46" t="s">
        <v>272</v>
      </c>
      <c r="AE26" s="43" t="s">
        <v>404</v>
      </c>
      <c r="AF26" s="43" t="s">
        <v>474</v>
      </c>
      <c r="AG26" s="43" t="s">
        <v>1064</v>
      </c>
      <c r="AH26" s="39" t="s">
        <v>528</v>
      </c>
      <c r="AI26" s="48" t="s">
        <v>532</v>
      </c>
    </row>
    <row r="27" spans="1:35" ht="18" thickBot="1" x14ac:dyDescent="0.4">
      <c r="A27" s="38" t="s">
        <v>44</v>
      </c>
      <c r="B27" s="39" t="s">
        <v>713</v>
      </c>
      <c r="C27" s="39" t="s">
        <v>187</v>
      </c>
      <c r="D27" s="43" t="s">
        <v>714</v>
      </c>
      <c r="E27" s="50" t="s">
        <v>715</v>
      </c>
      <c r="F27" s="42">
        <v>1.4</v>
      </c>
      <c r="G27" s="42" t="str">
        <f t="shared" si="6"/>
        <v>1-2km</v>
      </c>
      <c r="H27" s="43" t="s">
        <v>211</v>
      </c>
      <c r="I27" s="43">
        <v>55</v>
      </c>
      <c r="J27" s="44">
        <v>162</v>
      </c>
      <c r="K27" s="44" t="str">
        <f t="shared" si="7"/>
        <v>Econômico</v>
      </c>
      <c r="L27" s="43" t="s">
        <v>215</v>
      </c>
      <c r="M27" s="43" t="s">
        <v>217</v>
      </c>
      <c r="N27" s="43" t="s">
        <v>220</v>
      </c>
      <c r="O27" s="43">
        <v>3.7</v>
      </c>
      <c r="P27" s="45">
        <f>(Tabela1[Avaliação Média (0-5)] * 20) / Tabela1[Preço Médio da Diária (R$)] * 10</f>
        <v>4.5679012345679011</v>
      </c>
      <c r="Q27" s="42" t="str">
        <f t="shared" si="0"/>
        <v>Bom</v>
      </c>
      <c r="R27" s="43">
        <v>2</v>
      </c>
      <c r="S27" s="46" t="s">
        <v>969</v>
      </c>
      <c r="T27" s="43">
        <f t="shared" si="1"/>
        <v>1</v>
      </c>
      <c r="U27" s="46">
        <f t="shared" si="2"/>
        <v>0</v>
      </c>
      <c r="V27" s="46">
        <f>IF(OR(ISNUMBER(FIND("café da manhã",S27)), ISNUMBER(FIND("café da manha",O27)), ISNUMBER(FIND("cafe da manha",S27)), ISNUMBER(FIND("café da amanhã incluído",S27))), 1, 0)</f>
        <v>1</v>
      </c>
      <c r="W27" s="46">
        <f>IF(OR(ISNUMBER(FIND("estacionamento",S27)),ISNUMBER(FIND("estaciona",S27))), 1, 0)</f>
        <v>0</v>
      </c>
      <c r="X27" s="43">
        <f>IF(OR(ISNUMBER(FIND("serviço de quarto",S27)), ISNUMBER(FIND("servico de quarto",O27)), ISNUMBER(FIND("room service",S27))), 1, 0)</f>
        <v>0</v>
      </c>
      <c r="Y27" s="43">
        <f>IF(OR(ISNUMBER(FIND("restaurante",S27)), ISNUMBER(FIND("bar",S27))), 1, 0)</f>
        <v>0</v>
      </c>
      <c r="Z27" s="43">
        <f>IF(OR(ISNUMBER(FIND("academia",S27)), ISNUMBER(FIND("fitness",S27)), ISNUMBER(FIND("ginásio",S27))), 1, 0)</f>
        <v>0</v>
      </c>
      <c r="AA27" s="43">
        <f>IF(ISNUMBER(FIND("piscina",S27)), 1, 0)</f>
        <v>0</v>
      </c>
      <c r="AB27" s="43">
        <f>IF(OR(ISNUMBER(FIND("acessível",S27)),ISNUMBER(FIND("deficiência",S27)), ISNUMBER(FIND("cadeirante",S27)), ISNUMBER(FIND("PCD",S27))), 1, 0)</f>
        <v>0</v>
      </c>
      <c r="AC27" s="43">
        <f t="shared" si="5"/>
        <v>1</v>
      </c>
      <c r="AD27" s="46" t="s">
        <v>273</v>
      </c>
      <c r="AE27" s="43" t="s">
        <v>392</v>
      </c>
      <c r="AF27" s="43" t="s">
        <v>475</v>
      </c>
      <c r="AG27" s="43" t="s">
        <v>1064</v>
      </c>
      <c r="AH27" s="39" t="s">
        <v>527</v>
      </c>
      <c r="AI27" s="48" t="s">
        <v>529</v>
      </c>
    </row>
    <row r="28" spans="1:35" ht="18" thickBot="1" x14ac:dyDescent="0.4">
      <c r="A28" s="38" t="s">
        <v>45</v>
      </c>
      <c r="B28" s="39" t="s">
        <v>175</v>
      </c>
      <c r="C28" s="39" t="s">
        <v>183</v>
      </c>
      <c r="D28" s="43" t="s">
        <v>717</v>
      </c>
      <c r="E28" s="50" t="s">
        <v>716</v>
      </c>
      <c r="F28" s="42">
        <v>1.53</v>
      </c>
      <c r="G28" s="42" t="str">
        <f t="shared" si="6"/>
        <v>1-2km</v>
      </c>
      <c r="H28" s="43" t="s">
        <v>211</v>
      </c>
      <c r="I28" s="43">
        <v>45</v>
      </c>
      <c r="J28" s="44">
        <v>160</v>
      </c>
      <c r="K28" s="44" t="str">
        <f t="shared" si="7"/>
        <v>Econômico</v>
      </c>
      <c r="L28" s="43" t="s">
        <v>215</v>
      </c>
      <c r="M28" s="43" t="s">
        <v>217</v>
      </c>
      <c r="N28" s="43" t="s">
        <v>220</v>
      </c>
      <c r="O28" s="43">
        <v>4.2</v>
      </c>
      <c r="P28" s="45">
        <f>(Tabela1[Avaliação Média (0-5)] * 20) / Tabela1[Preço Médio da Diária (R$)] * 10</f>
        <v>5.25</v>
      </c>
      <c r="Q28" s="42" t="str">
        <f t="shared" si="0"/>
        <v>Bom</v>
      </c>
      <c r="R28" s="43">
        <v>2</v>
      </c>
      <c r="S28" s="46" t="s">
        <v>1018</v>
      </c>
      <c r="T28" s="43">
        <f t="shared" si="1"/>
        <v>1</v>
      </c>
      <c r="U28" s="46">
        <f t="shared" si="2"/>
        <v>1</v>
      </c>
      <c r="V28" s="46">
        <f>IF(OR(ISNUMBER(FIND("café da manhã",S28)), ISNUMBER(FIND("café da manha",O28)), ISNUMBER(FIND("cafe da manha",S28)), ISNUMBER(FIND("café da amanhã incluído",S28))), 1, 0)</f>
        <v>0</v>
      </c>
      <c r="W28" s="46">
        <f>IF(OR(ISNUMBER(FIND("estacionamento",S28)),ISNUMBER(FIND("estaciona",S28))), 1, 0)</f>
        <v>1</v>
      </c>
      <c r="X28" s="43">
        <f>IF(OR(ISNUMBER(FIND("serviço de quarto",S28)), ISNUMBER(FIND("servico de quarto",O28)), ISNUMBER(FIND("room service",S28))), 1, 0)</f>
        <v>0</v>
      </c>
      <c r="Y28" s="43">
        <f>IF(OR(ISNUMBER(FIND("restaurante",S28)), ISNUMBER(FIND("bar",S28))), 1, 0)</f>
        <v>0</v>
      </c>
      <c r="Z28" s="43">
        <f>IF(OR(ISNUMBER(FIND("academia",S28)), ISNUMBER(FIND("fitness",S28)), ISNUMBER(FIND("ginásio",S28))), 1, 0)</f>
        <v>0</v>
      </c>
      <c r="AA28" s="43">
        <f>IF(ISNUMBER(FIND("piscina",S28)), 1, 0)</f>
        <v>0</v>
      </c>
      <c r="AB28" s="43">
        <f>IF(OR(ISNUMBER(FIND("acessível",S28)),ISNUMBER(FIND("deficiência",S28)), ISNUMBER(FIND("cadeirante",S28)), ISNUMBER(FIND("PCD",S28))), 1, 0)</f>
        <v>0</v>
      </c>
      <c r="AC28" s="43">
        <f t="shared" si="5"/>
        <v>1</v>
      </c>
      <c r="AD28" s="46" t="s">
        <v>274</v>
      </c>
      <c r="AE28" s="43" t="s">
        <v>406</v>
      </c>
      <c r="AF28" s="43" t="s">
        <v>468</v>
      </c>
      <c r="AG28" s="43" t="s">
        <v>1064</v>
      </c>
      <c r="AH28" s="39" t="s">
        <v>527</v>
      </c>
      <c r="AI28" s="48" t="s">
        <v>529</v>
      </c>
    </row>
    <row r="29" spans="1:35" ht="18" thickBot="1" x14ac:dyDescent="0.4">
      <c r="A29" s="38" t="s">
        <v>46</v>
      </c>
      <c r="B29" s="39" t="s">
        <v>176</v>
      </c>
      <c r="C29" s="39" t="s">
        <v>183</v>
      </c>
      <c r="D29" s="43" t="s">
        <v>719</v>
      </c>
      <c r="E29" s="50" t="s">
        <v>718</v>
      </c>
      <c r="F29" s="42">
        <v>1.52</v>
      </c>
      <c r="G29" s="42" t="str">
        <f t="shared" si="6"/>
        <v>1-2km</v>
      </c>
      <c r="H29" s="43" t="s">
        <v>211</v>
      </c>
      <c r="I29" s="43">
        <v>39</v>
      </c>
      <c r="J29" s="44">
        <v>220</v>
      </c>
      <c r="K29" s="44" t="str">
        <f t="shared" si="7"/>
        <v>Médio</v>
      </c>
      <c r="L29" s="43" t="s">
        <v>215</v>
      </c>
      <c r="M29" s="43" t="s">
        <v>218</v>
      </c>
      <c r="N29" s="43" t="s">
        <v>220</v>
      </c>
      <c r="O29" s="43">
        <v>4.3</v>
      </c>
      <c r="P29" s="45">
        <f>(Tabela1[Avaliação Média (0-5)] * 20) / Tabela1[Preço Médio da Diária (R$)] * 10</f>
        <v>3.9090909090909092</v>
      </c>
      <c r="Q29" s="42" t="str">
        <f t="shared" si="0"/>
        <v>Regular</v>
      </c>
      <c r="R29" s="43">
        <v>2</v>
      </c>
      <c r="S29" s="46" t="s">
        <v>979</v>
      </c>
      <c r="T29" s="43">
        <f t="shared" si="1"/>
        <v>1</v>
      </c>
      <c r="U29" s="46">
        <f t="shared" si="2"/>
        <v>1</v>
      </c>
      <c r="V29" s="46">
        <f>IF(OR(ISNUMBER(FIND("café da manhã",S29)), ISNUMBER(FIND("café da manha",O29)), ISNUMBER(FIND("cafe da manha",S29)), ISNUMBER(FIND("café da amanhã incluído",S29))), 1, 0)</f>
        <v>1</v>
      </c>
      <c r="W29" s="46">
        <f>IF(OR(ISNUMBER(FIND("estacionamento",S29)),ISNUMBER(FIND("estaciona",S29))), 1, 0)</f>
        <v>0</v>
      </c>
      <c r="X29" s="43">
        <f>IF(OR(ISNUMBER(FIND("serviço de quarto",S29)), ISNUMBER(FIND("servico de quarto",O29)), ISNUMBER(FIND("room service",S29))), 1, 0)</f>
        <v>0</v>
      </c>
      <c r="Y29" s="43">
        <f>IF(OR(ISNUMBER(FIND("restaurante",S29)), ISNUMBER(FIND("bar",S29))), 1, 0)</f>
        <v>0</v>
      </c>
      <c r="Z29" s="43">
        <f>IF(OR(ISNUMBER(FIND("academia",S29)), ISNUMBER(FIND("fitness",S29)), ISNUMBER(FIND("ginásio",S29))), 1, 0)</f>
        <v>0</v>
      </c>
      <c r="AA29" s="43">
        <f>IF(ISNUMBER(FIND("piscina",S29)), 1, 0)</f>
        <v>0</v>
      </c>
      <c r="AB29" s="43">
        <f>IF(OR(ISNUMBER(FIND("acessível",S29)),ISNUMBER(FIND("deficiência",S29)), ISNUMBER(FIND("cadeirante",S29)), ISNUMBER(FIND("PCD",S29))), 1, 0)</f>
        <v>0</v>
      </c>
      <c r="AC29" s="43">
        <f t="shared" si="5"/>
        <v>1</v>
      </c>
      <c r="AD29" s="46" t="s">
        <v>275</v>
      </c>
      <c r="AE29" s="43" t="s">
        <v>407</v>
      </c>
      <c r="AF29" s="43" t="s">
        <v>460</v>
      </c>
      <c r="AG29" s="43" t="s">
        <v>1064</v>
      </c>
      <c r="AH29" s="39" t="s">
        <v>527</v>
      </c>
      <c r="AI29" s="48" t="s">
        <v>529</v>
      </c>
    </row>
    <row r="30" spans="1:35" ht="18" thickBot="1" x14ac:dyDescent="0.4">
      <c r="A30" s="38" t="s">
        <v>47</v>
      </c>
      <c r="B30" s="39" t="s">
        <v>177</v>
      </c>
      <c r="C30" s="39" t="s">
        <v>183</v>
      </c>
      <c r="D30" s="43" t="s">
        <v>720</v>
      </c>
      <c r="E30" s="50" t="s">
        <v>721</v>
      </c>
      <c r="F30" s="42">
        <v>1.82</v>
      </c>
      <c r="G30" s="42" t="str">
        <f t="shared" si="6"/>
        <v>1-2km</v>
      </c>
      <c r="H30" s="43" t="s">
        <v>211</v>
      </c>
      <c r="I30" s="43">
        <v>14</v>
      </c>
      <c r="J30" s="44">
        <v>262.3</v>
      </c>
      <c r="K30" s="44" t="str">
        <f t="shared" si="7"/>
        <v>Médio</v>
      </c>
      <c r="L30" s="43" t="s">
        <v>215</v>
      </c>
      <c r="M30" s="43" t="s">
        <v>217</v>
      </c>
      <c r="N30" s="43" t="s">
        <v>220</v>
      </c>
      <c r="O30" s="43">
        <v>4</v>
      </c>
      <c r="P30" s="45">
        <f>(Tabela1[Avaliação Média (0-5)] * 20) / Tabela1[Preço Médio da Diária (R$)] * 10</f>
        <v>3.0499428135722457</v>
      </c>
      <c r="Q30" s="42" t="str">
        <f t="shared" si="0"/>
        <v>Regular</v>
      </c>
      <c r="R30" s="43">
        <v>2</v>
      </c>
      <c r="S30" s="46" t="s">
        <v>1021</v>
      </c>
      <c r="T30" s="43">
        <f t="shared" si="1"/>
        <v>1</v>
      </c>
      <c r="U30" s="46">
        <f t="shared" si="2"/>
        <v>0</v>
      </c>
      <c r="V30" s="46">
        <f>IF(OR(ISNUMBER(FIND("café da manhã",S30)), ISNUMBER(FIND("café da manha",O30)), ISNUMBER(FIND("cafe da manha",S30)), ISNUMBER(FIND("café da amanhã incluído",S30))), 1, 0)</f>
        <v>1</v>
      </c>
      <c r="W30" s="46">
        <f>IF(OR(ISNUMBER(FIND("estacionamento",S30)),ISNUMBER(FIND("estaciona",S30))), 1, 0)</f>
        <v>0</v>
      </c>
      <c r="X30" s="43">
        <f>IF(OR(ISNUMBER(FIND("serviço de quarto",S30)), ISNUMBER(FIND("servico de quarto",O30)), ISNUMBER(FIND("room service",S30))), 1, 0)</f>
        <v>1</v>
      </c>
      <c r="Y30" s="43">
        <f>IF(OR(ISNUMBER(FIND("restaurante",S30)), ISNUMBER(FIND("bar",S30))), 1, 0)</f>
        <v>1</v>
      </c>
      <c r="Z30" s="43">
        <f>IF(OR(ISNUMBER(FIND("academia",S30)), ISNUMBER(FIND("fitness",S30)), ISNUMBER(FIND("ginásio",S30))), 1, 0)</f>
        <v>0</v>
      </c>
      <c r="AA30" s="43">
        <f>IF(ISNUMBER(FIND("piscina",S30)), 1, 0)</f>
        <v>0</v>
      </c>
      <c r="AB30" s="43">
        <f>IF(OR(ISNUMBER(FIND("acessível",S30)),ISNUMBER(FIND("deficiência",S30)), ISNUMBER(FIND("cadeirante",S30)), ISNUMBER(FIND("PCD",S30))), 1, 0)</f>
        <v>0</v>
      </c>
      <c r="AC30" s="43">
        <f t="shared" si="5"/>
        <v>1</v>
      </c>
      <c r="AD30" s="46" t="s">
        <v>276</v>
      </c>
      <c r="AE30" s="43" t="s">
        <v>405</v>
      </c>
      <c r="AF30" s="43" t="s">
        <v>472</v>
      </c>
      <c r="AG30" s="43" t="s">
        <v>1064</v>
      </c>
      <c r="AH30" s="39" t="s">
        <v>527</v>
      </c>
      <c r="AI30" s="48" t="s">
        <v>529</v>
      </c>
    </row>
    <row r="31" spans="1:35" ht="18" thickBot="1" x14ac:dyDescent="0.4">
      <c r="A31" s="38" t="s">
        <v>48</v>
      </c>
      <c r="B31" s="39" t="s">
        <v>553</v>
      </c>
      <c r="C31" s="39" t="s">
        <v>181</v>
      </c>
      <c r="D31" s="43" t="s">
        <v>722</v>
      </c>
      <c r="E31" s="50" t="s">
        <v>723</v>
      </c>
      <c r="F31" s="42">
        <v>2.4500000000000002</v>
      </c>
      <c r="G31" s="42" t="str">
        <f t="shared" si="6"/>
        <v>2-3km</v>
      </c>
      <c r="H31" s="43" t="s">
        <v>211</v>
      </c>
      <c r="I31" s="43">
        <v>10</v>
      </c>
      <c r="J31" s="44">
        <v>175</v>
      </c>
      <c r="K31" s="44" t="str">
        <f t="shared" si="7"/>
        <v>Econômico</v>
      </c>
      <c r="L31" s="43" t="s">
        <v>215</v>
      </c>
      <c r="M31" s="43" t="s">
        <v>218</v>
      </c>
      <c r="N31" s="43" t="s">
        <v>220</v>
      </c>
      <c r="O31" s="43">
        <v>3.2</v>
      </c>
      <c r="P31" s="45">
        <f>(Tabela1[Avaliação Média (0-5)] * 20) / Tabela1[Preço Médio da Diária (R$)] * 10</f>
        <v>3.657142857142857</v>
      </c>
      <c r="Q31" s="42" t="str">
        <f t="shared" si="0"/>
        <v>Regular</v>
      </c>
      <c r="R31" s="43">
        <v>2</v>
      </c>
      <c r="S31" s="46" t="s">
        <v>997</v>
      </c>
      <c r="T31" s="43">
        <f t="shared" si="1"/>
        <v>1</v>
      </c>
      <c r="U31" s="46">
        <f t="shared" si="2"/>
        <v>1</v>
      </c>
      <c r="V31" s="46">
        <f>IF(OR(ISNUMBER(FIND("café da manhã",S31)), ISNUMBER(FIND("café da manha",O31)), ISNUMBER(FIND("cafe da manha",S31)), ISNUMBER(FIND("café da amanhã incluído",S31))), 1, 0)</f>
        <v>0</v>
      </c>
      <c r="W31" s="46">
        <f>IF(OR(ISNUMBER(FIND("estacionamento",S31)),ISNUMBER(FIND("estaciona",S31))), 1, 0)</f>
        <v>0</v>
      </c>
      <c r="X31" s="43">
        <f>IF(OR(ISNUMBER(FIND("serviço de quarto",S31)), ISNUMBER(FIND("servico de quarto",O31)), ISNUMBER(FIND("room service",S31))), 1, 0)</f>
        <v>1</v>
      </c>
      <c r="Y31" s="43">
        <f>IF(OR(ISNUMBER(FIND("restaurante",S31)), ISNUMBER(FIND("bar",S31))), 1, 0)</f>
        <v>0</v>
      </c>
      <c r="Z31" s="43">
        <f>IF(OR(ISNUMBER(FIND("academia",S31)), ISNUMBER(FIND("fitness",S31)), ISNUMBER(FIND("ginásio",S31))), 1, 0)</f>
        <v>0</v>
      </c>
      <c r="AA31" s="43">
        <f>IF(ISNUMBER(FIND("piscina",S31)), 1, 0)</f>
        <v>0</v>
      </c>
      <c r="AB31" s="43">
        <f>IF(OR(ISNUMBER(FIND("acessível",S31)),ISNUMBER(FIND("deficiência",S31)), ISNUMBER(FIND("cadeirante",S31)), ISNUMBER(FIND("PCD",S31))), 1, 0)</f>
        <v>0</v>
      </c>
      <c r="AC31" s="43">
        <f t="shared" si="5"/>
        <v>1</v>
      </c>
      <c r="AD31" s="46" t="s">
        <v>277</v>
      </c>
      <c r="AE31" s="43" t="s">
        <v>408</v>
      </c>
      <c r="AF31" s="43" t="s">
        <v>460</v>
      </c>
      <c r="AG31" s="43" t="s">
        <v>1067</v>
      </c>
      <c r="AH31" s="39" t="s">
        <v>528</v>
      </c>
      <c r="AI31" s="48" t="s">
        <v>530</v>
      </c>
    </row>
    <row r="32" spans="1:35" ht="18" thickBot="1" x14ac:dyDescent="0.4">
      <c r="A32" s="38" t="s">
        <v>49</v>
      </c>
      <c r="B32" s="39" t="s">
        <v>724</v>
      </c>
      <c r="C32" s="39" t="s">
        <v>188</v>
      </c>
      <c r="D32" s="43" t="s">
        <v>725</v>
      </c>
      <c r="E32" s="50" t="s">
        <v>726</v>
      </c>
      <c r="F32" s="42">
        <v>2.5099999999999998</v>
      </c>
      <c r="G32" s="42" t="str">
        <f t="shared" si="6"/>
        <v>2-3km</v>
      </c>
      <c r="H32" s="43" t="s">
        <v>211</v>
      </c>
      <c r="I32" s="43">
        <v>24</v>
      </c>
      <c r="J32" s="44">
        <v>199.75</v>
      </c>
      <c r="K32" s="44" t="str">
        <f t="shared" si="7"/>
        <v>Econômico</v>
      </c>
      <c r="L32" s="43" t="s">
        <v>215</v>
      </c>
      <c r="M32" s="43" t="s">
        <v>220</v>
      </c>
      <c r="N32" s="43" t="s">
        <v>220</v>
      </c>
      <c r="O32" s="43">
        <v>3.8</v>
      </c>
      <c r="P32" s="45">
        <f>(Tabela1[Avaliação Média (0-5)] * 20) / Tabela1[Preço Médio da Diária (R$)] * 10</f>
        <v>3.8047559449311641</v>
      </c>
      <c r="Q32" s="42" t="str">
        <f t="shared" si="0"/>
        <v>Regular</v>
      </c>
      <c r="R32" s="43">
        <v>2</v>
      </c>
      <c r="S32" s="46" t="s">
        <v>998</v>
      </c>
      <c r="T32" s="43">
        <f t="shared" si="1"/>
        <v>1</v>
      </c>
      <c r="U32" s="46">
        <f t="shared" si="2"/>
        <v>1</v>
      </c>
      <c r="V32" s="46">
        <f>IF(OR(ISNUMBER(FIND("café da manhã",S32)), ISNUMBER(FIND("café da manha",O32)), ISNUMBER(FIND("cafe da manha",S32)), ISNUMBER(FIND("café da amanhã incluído",S32))), 1, 0)</f>
        <v>1</v>
      </c>
      <c r="W32" s="46">
        <f>IF(OR(ISNUMBER(FIND("estacionamento",S32)),ISNUMBER(FIND("estaciona",S32))), 1, 0)</f>
        <v>0</v>
      </c>
      <c r="X32" s="43">
        <f>IF(OR(ISNUMBER(FIND("serviço de quarto",S32)), ISNUMBER(FIND("servico de quarto",O32)), ISNUMBER(FIND("room service",S32))), 1, 0)</f>
        <v>1</v>
      </c>
      <c r="Y32" s="43">
        <f>IF(OR(ISNUMBER(FIND("restaurante",S32)), ISNUMBER(FIND("bar",S32))), 1, 0)</f>
        <v>0</v>
      </c>
      <c r="Z32" s="43">
        <f>IF(OR(ISNUMBER(FIND("academia",S32)), ISNUMBER(FIND("fitness",S32)), ISNUMBER(FIND("ginásio",S32))), 1, 0)</f>
        <v>0</v>
      </c>
      <c r="AA32" s="43">
        <f>IF(ISNUMBER(FIND("piscina",S32)), 1, 0)</f>
        <v>0</v>
      </c>
      <c r="AB32" s="43">
        <f>IF(OR(ISNUMBER(FIND("acessível",S32)),ISNUMBER(FIND("deficiência",S32)), ISNUMBER(FIND("cadeirante",S32)), ISNUMBER(FIND("PCD",S32))), 1, 0)</f>
        <v>0</v>
      </c>
      <c r="AC32" s="43">
        <f t="shared" si="5"/>
        <v>1</v>
      </c>
      <c r="AD32" s="46" t="s">
        <v>278</v>
      </c>
      <c r="AE32" s="43" t="s">
        <v>409</v>
      </c>
      <c r="AF32" s="43" t="s">
        <v>460</v>
      </c>
      <c r="AG32" s="43" t="s">
        <v>1067</v>
      </c>
      <c r="AH32" s="39" t="s">
        <v>527</v>
      </c>
      <c r="AI32" s="48" t="s">
        <v>529</v>
      </c>
    </row>
    <row r="33" spans="1:35" ht="18" thickBot="1" x14ac:dyDescent="0.4">
      <c r="A33" s="38" t="s">
        <v>23</v>
      </c>
      <c r="B33" s="39" t="s">
        <v>554</v>
      </c>
      <c r="C33" s="39" t="s">
        <v>183</v>
      </c>
      <c r="D33" s="43" t="s">
        <v>727</v>
      </c>
      <c r="E33" s="50" t="s">
        <v>728</v>
      </c>
      <c r="F33" s="42">
        <v>2.37</v>
      </c>
      <c r="G33" s="42" t="str">
        <f t="shared" si="6"/>
        <v>2-3km</v>
      </c>
      <c r="H33" s="43" t="s">
        <v>211</v>
      </c>
      <c r="I33" s="43">
        <v>12</v>
      </c>
      <c r="J33" s="44">
        <v>184</v>
      </c>
      <c r="K33" s="44" t="str">
        <f t="shared" si="7"/>
        <v>Econômico</v>
      </c>
      <c r="L33" s="43" t="s">
        <v>215</v>
      </c>
      <c r="M33" s="43" t="s">
        <v>218</v>
      </c>
      <c r="N33" s="43" t="s">
        <v>220</v>
      </c>
      <c r="O33" s="43">
        <v>3.7</v>
      </c>
      <c r="P33" s="45">
        <f>(Tabela1[Avaliação Média (0-5)] * 20) / Tabela1[Preço Médio da Diária (R$)] * 10</f>
        <v>4.0217391304347831</v>
      </c>
      <c r="Q33" s="42" t="str">
        <f t="shared" si="0"/>
        <v>Bom</v>
      </c>
      <c r="R33" s="43">
        <v>2</v>
      </c>
      <c r="S33" s="46" t="s">
        <v>999</v>
      </c>
      <c r="T33" s="43">
        <f t="shared" si="1"/>
        <v>1</v>
      </c>
      <c r="U33" s="46">
        <f t="shared" si="2"/>
        <v>1</v>
      </c>
      <c r="V33" s="46">
        <f>IF(OR(ISNUMBER(FIND("café da manhã",S33)), ISNUMBER(FIND("café da manha",O33)), ISNUMBER(FIND("cafe da manha",S33)), ISNUMBER(FIND("café da amanhã incluído",S33))), 1, 0)</f>
        <v>1</v>
      </c>
      <c r="W33" s="46">
        <f>IF(OR(ISNUMBER(FIND("estacionamento",S33)),ISNUMBER(FIND("estaciona",S33))), 1, 0)</f>
        <v>1</v>
      </c>
      <c r="X33" s="43">
        <f>IF(OR(ISNUMBER(FIND("serviço de quarto",S33)), ISNUMBER(FIND("servico de quarto",O33)), ISNUMBER(FIND("room service",S33))), 1, 0)</f>
        <v>1</v>
      </c>
      <c r="Y33" s="43">
        <f>IF(OR(ISNUMBER(FIND("restaurante",S33)), ISNUMBER(FIND("bar",S33))), 1, 0)</f>
        <v>0</v>
      </c>
      <c r="Z33" s="43">
        <f>IF(OR(ISNUMBER(FIND("academia",S33)), ISNUMBER(FIND("fitness",S33)), ISNUMBER(FIND("ginásio",S33))), 1, 0)</f>
        <v>0</v>
      </c>
      <c r="AA33" s="43">
        <f>IF(ISNUMBER(FIND("piscina",S33)), 1, 0)</f>
        <v>0</v>
      </c>
      <c r="AB33" s="43">
        <f>IF(OR(ISNUMBER(FIND("acessível",S33)),ISNUMBER(FIND("deficiência",S33)), ISNUMBER(FIND("cadeirante",S33)), ISNUMBER(FIND("PCD",S33))), 1, 0)</f>
        <v>0</v>
      </c>
      <c r="AC33" s="43">
        <f t="shared" si="5"/>
        <v>1</v>
      </c>
      <c r="AD33" s="46" t="s">
        <v>279</v>
      </c>
      <c r="AE33" s="43" t="s">
        <v>408</v>
      </c>
      <c r="AF33" s="43" t="s">
        <v>472</v>
      </c>
      <c r="AG33" s="43" t="s">
        <v>1064</v>
      </c>
      <c r="AH33" s="39" t="s">
        <v>528</v>
      </c>
      <c r="AI33" s="48" t="s">
        <v>530</v>
      </c>
    </row>
    <row r="34" spans="1:35" ht="18" thickBot="1" x14ac:dyDescent="0.4">
      <c r="A34" s="38" t="s">
        <v>50</v>
      </c>
      <c r="B34" s="39" t="s">
        <v>555</v>
      </c>
      <c r="C34" s="39" t="s">
        <v>181</v>
      </c>
      <c r="D34" s="40" t="s">
        <v>729</v>
      </c>
      <c r="E34" s="50" t="s">
        <v>730</v>
      </c>
      <c r="F34" s="42">
        <v>2.91</v>
      </c>
      <c r="G34" s="42" t="str">
        <f t="shared" si="6"/>
        <v>2-3km</v>
      </c>
      <c r="H34" s="43" t="s">
        <v>213</v>
      </c>
      <c r="I34" s="43">
        <v>16</v>
      </c>
      <c r="J34" s="44">
        <v>330</v>
      </c>
      <c r="K34" s="44" t="str">
        <f t="shared" si="7"/>
        <v>Médio</v>
      </c>
      <c r="L34" s="43" t="s">
        <v>215</v>
      </c>
      <c r="M34" s="43" t="s">
        <v>217</v>
      </c>
      <c r="N34" s="43" t="s">
        <v>225</v>
      </c>
      <c r="O34" s="43">
        <v>4.5999999999999996</v>
      </c>
      <c r="P34" s="45">
        <f>(Tabela1[Avaliação Média (0-5)] * 20) / Tabela1[Preço Médio da Diária (R$)] * 10</f>
        <v>2.7878787878787881</v>
      </c>
      <c r="Q34" s="42" t="str">
        <f t="shared" ref="Q34:Q65" si="9">IF(P34&lt;=2,"Baixo",IF(P34&lt;=4,"Regular",IF(P34&lt;=6,"Bom","Excelente")))</f>
        <v>Regular</v>
      </c>
      <c r="R34" s="43">
        <v>2</v>
      </c>
      <c r="S34" s="46" t="s">
        <v>981</v>
      </c>
      <c r="T34" s="43">
        <f t="shared" ref="T34:T65" si="10">IF(OR(ISNUMBER(FIND("Wi-fi",S34)), ISNUMBER(FIND("Wi-Fi",S34)), ISNUMBER(FIND("Wifi",S34))), 1, 0)</f>
        <v>1</v>
      </c>
      <c r="U34" s="46">
        <f t="shared" ref="U34:U65" si="11">IF(OR(ISNUMBER(FIND("Ar condicionado",S34)), ISNUMBER(FIND("Ar-condicionado",S34)), ISNUMBER(FIND("ar cond",S34))), 1, 0)</f>
        <v>0</v>
      </c>
      <c r="V34" s="46">
        <f>IF(OR(ISNUMBER(FIND("café da manhã",S34)), ISNUMBER(FIND("café da manha",O34)), ISNUMBER(FIND("cafe da manha",S34)), ISNUMBER(FIND("café da amanhã incluído",S34))), 1, 0)</f>
        <v>1</v>
      </c>
      <c r="W34" s="46">
        <f>IF(OR(ISNUMBER(FIND("estacionamento",S34)),ISNUMBER(FIND("estaciona",S34))), 1, 0)</f>
        <v>1</v>
      </c>
      <c r="X34" s="43">
        <f>IF(OR(ISNUMBER(FIND("serviço de quarto",S34)), ISNUMBER(FIND("servico de quarto",O34)), ISNUMBER(FIND("room service",S34))), 1, 0)</f>
        <v>0</v>
      </c>
      <c r="Y34" s="43">
        <f>IF(OR(ISNUMBER(FIND("restaurante",S34)), ISNUMBER(FIND("bar",S34))), 1, 0)</f>
        <v>0</v>
      </c>
      <c r="Z34" s="43">
        <f>IF(OR(ISNUMBER(FIND("academia",S34)), ISNUMBER(FIND("fitness",S34)), ISNUMBER(FIND("ginásio",S34))), 1, 0)</f>
        <v>0</v>
      </c>
      <c r="AA34" s="43">
        <f>IF(ISNUMBER(FIND("piscina",S34)), 1, 0)</f>
        <v>0</v>
      </c>
      <c r="AB34" s="43">
        <f>IF(OR(ISNUMBER(FIND("acessível",S34)),ISNUMBER(FIND("deficiência",S34)), ISNUMBER(FIND("cadeirante",S34)), ISNUMBER(FIND("PCD",S34))), 1, 0)</f>
        <v>0</v>
      </c>
      <c r="AC34" s="43">
        <f t="shared" ref="AC34:AC65" si="12">IF(OR(ISNUMBER(FIND("aceita pet",AG34)), ISNUMBER(FIND("permite pet",O34)), ISNUMBER(FIND("animais",AG34)), ISNUMBER(FIND("pet friendly",AG34))), 1, 0)</f>
        <v>1</v>
      </c>
      <c r="AD34" s="46" t="s">
        <v>280</v>
      </c>
      <c r="AE34" s="43" t="s">
        <v>410</v>
      </c>
      <c r="AF34" s="43" t="s">
        <v>476</v>
      </c>
      <c r="AG34" s="43" t="s">
        <v>1068</v>
      </c>
      <c r="AH34" s="39" t="s">
        <v>527</v>
      </c>
      <c r="AI34" s="48" t="s">
        <v>529</v>
      </c>
    </row>
    <row r="35" spans="1:35" ht="18" thickBot="1" x14ac:dyDescent="0.4">
      <c r="A35" s="38" t="s">
        <v>51</v>
      </c>
      <c r="B35" s="39" t="s">
        <v>556</v>
      </c>
      <c r="C35" s="39" t="s">
        <v>189</v>
      </c>
      <c r="D35" s="43" t="s">
        <v>731</v>
      </c>
      <c r="E35" s="50" t="s">
        <v>732</v>
      </c>
      <c r="F35" s="42">
        <v>2.52</v>
      </c>
      <c r="G35" s="42" t="str">
        <f t="shared" si="6"/>
        <v>2-3km</v>
      </c>
      <c r="H35" s="43" t="s">
        <v>211</v>
      </c>
      <c r="I35" s="43">
        <v>166</v>
      </c>
      <c r="J35" s="44">
        <v>314</v>
      </c>
      <c r="K35" s="44" t="str">
        <f t="shared" si="7"/>
        <v>Médio</v>
      </c>
      <c r="L35" s="43" t="s">
        <v>215</v>
      </c>
      <c r="M35" s="43" t="s">
        <v>220</v>
      </c>
      <c r="N35" s="43" t="s">
        <v>220</v>
      </c>
      <c r="O35" s="43">
        <v>4.0999999999999996</v>
      </c>
      <c r="P35" s="45">
        <f>(Tabela1[Avaliação Média (0-5)] * 20) / Tabela1[Preço Médio da Diária (R$)] * 10</f>
        <v>2.6114649681528661</v>
      </c>
      <c r="Q35" s="42" t="str">
        <f t="shared" si="9"/>
        <v>Regular</v>
      </c>
      <c r="R35" s="43">
        <v>2</v>
      </c>
      <c r="S35" s="46" t="s">
        <v>1041</v>
      </c>
      <c r="T35" s="43">
        <f t="shared" si="10"/>
        <v>1</v>
      </c>
      <c r="U35" s="46">
        <f t="shared" si="11"/>
        <v>1</v>
      </c>
      <c r="V35" s="46">
        <f>IF(OR(ISNUMBER(FIND("café da manhã",S35)), ISNUMBER(FIND("café da manha",O35)), ISNUMBER(FIND("cafe da manha",S35)), ISNUMBER(FIND("café da amanhã incluído",S35))), 1, 0)</f>
        <v>0</v>
      </c>
      <c r="W35" s="46">
        <f>IF(OR(ISNUMBER(FIND("estacionamento",S35)),ISNUMBER(FIND("estaciona",S35))), 1, 0)</f>
        <v>0</v>
      </c>
      <c r="X35" s="43">
        <f>IF(OR(ISNUMBER(FIND("serviço de quarto",S35)), ISNUMBER(FIND("servico de quarto",O35)), ISNUMBER(FIND("room service",S35))), 1, 0)</f>
        <v>0</v>
      </c>
      <c r="Y35" s="43">
        <f>IF(OR(ISNUMBER(FIND("restaurante",S35)), ISNUMBER(FIND("bar",S35))), 1, 0)</f>
        <v>0</v>
      </c>
      <c r="Z35" s="43">
        <f>IF(OR(ISNUMBER(FIND("academia",S35)), ISNUMBER(FIND("fitness",S35)), ISNUMBER(FIND("ginásio",S35))), 1, 0)</f>
        <v>0</v>
      </c>
      <c r="AA35" s="43">
        <f>IF(ISNUMBER(FIND("piscina",S35)), 1, 0)</f>
        <v>0</v>
      </c>
      <c r="AB35" s="43">
        <f>IF(OR(ISNUMBER(FIND("acessível",S35)),ISNUMBER(FIND("deficiência",S35)), ISNUMBER(FIND("cadeirante",S35)), ISNUMBER(FIND("PCD",S35))), 1, 0)</f>
        <v>1</v>
      </c>
      <c r="AC35" s="43">
        <f t="shared" si="12"/>
        <v>1</v>
      </c>
      <c r="AD35" s="46" t="s">
        <v>281</v>
      </c>
      <c r="AE35" s="43" t="s">
        <v>405</v>
      </c>
      <c r="AF35" s="43" t="s">
        <v>476</v>
      </c>
      <c r="AG35" s="43" t="s">
        <v>1068</v>
      </c>
      <c r="AH35" s="39" t="s">
        <v>528</v>
      </c>
      <c r="AI35" s="48" t="s">
        <v>531</v>
      </c>
    </row>
    <row r="36" spans="1:35" ht="22.5" customHeight="1" thickBot="1" x14ac:dyDescent="0.4">
      <c r="A36" s="38" t="s">
        <v>52</v>
      </c>
      <c r="B36" s="39" t="s">
        <v>557</v>
      </c>
      <c r="C36" s="39" t="s">
        <v>189</v>
      </c>
      <c r="D36" s="43" t="s">
        <v>733</v>
      </c>
      <c r="E36" s="50" t="s">
        <v>734</v>
      </c>
      <c r="F36" s="42">
        <v>2.62</v>
      </c>
      <c r="G36" s="42" t="str">
        <f t="shared" si="6"/>
        <v>2-3km</v>
      </c>
      <c r="H36" s="43" t="s">
        <v>212</v>
      </c>
      <c r="I36" s="43">
        <v>38</v>
      </c>
      <c r="J36" s="44">
        <v>146.6</v>
      </c>
      <c r="K36" s="44" t="str">
        <f t="shared" si="7"/>
        <v>Econômico</v>
      </c>
      <c r="L36" s="43" t="s">
        <v>215</v>
      </c>
      <c r="M36" s="43" t="s">
        <v>218</v>
      </c>
      <c r="N36" s="43" t="s">
        <v>225</v>
      </c>
      <c r="O36" s="43">
        <v>4.5</v>
      </c>
      <c r="P36" s="45">
        <f>(Tabela1[Avaliação Média (0-5)] * 20) / Tabela1[Preço Médio da Diária (R$)] * 10</f>
        <v>6.1391541609822653</v>
      </c>
      <c r="Q36" s="42" t="str">
        <f t="shared" si="9"/>
        <v>Excelente</v>
      </c>
      <c r="R36" s="43">
        <v>2</v>
      </c>
      <c r="S36" s="49" t="s">
        <v>1042</v>
      </c>
      <c r="T36" s="43">
        <f t="shared" si="10"/>
        <v>1</v>
      </c>
      <c r="U36" s="46">
        <f t="shared" si="11"/>
        <v>1</v>
      </c>
      <c r="V36" s="46">
        <f>IF(OR(ISNUMBER(FIND("café da manhã",S36)), ISNUMBER(FIND("café da manha",O36)), ISNUMBER(FIND("cafe da manha",S36)), ISNUMBER(FIND("café da amanhã incluído",S36))), 1, 0)</f>
        <v>1</v>
      </c>
      <c r="W36" s="46">
        <f>IF(OR(ISNUMBER(FIND("estacionamento",S36)),ISNUMBER(FIND("estaciona",S36))), 1, 0)</f>
        <v>1</v>
      </c>
      <c r="X36" s="43">
        <f>IF(OR(ISNUMBER(FIND("serviço de quarto",S36)), ISNUMBER(FIND("servico de quarto",O36)), ISNUMBER(FIND("room service",S36))), 1, 0)</f>
        <v>1</v>
      </c>
      <c r="Y36" s="43">
        <f>IF(OR(ISNUMBER(FIND("restaurante",S36)), ISNUMBER(FIND("bar",S36))), 1, 0)</f>
        <v>0</v>
      </c>
      <c r="Z36" s="43">
        <f>IF(OR(ISNUMBER(FIND("academia",S36)), ISNUMBER(FIND("fitness",S36)), ISNUMBER(FIND("ginásio",S36))), 1, 0)</f>
        <v>0</v>
      </c>
      <c r="AA36" s="43">
        <f>IF(ISNUMBER(FIND("piscina",S36)), 1, 0)</f>
        <v>0</v>
      </c>
      <c r="AB36" s="43">
        <f>IF(OR(ISNUMBER(FIND("acessível",S36)),ISNUMBER(FIND("deficiência",S36)), ISNUMBER(FIND("cadeirante",S36)), ISNUMBER(FIND("PCD",S36))), 1, 0)</f>
        <v>1</v>
      </c>
      <c r="AC36" s="43">
        <f t="shared" si="12"/>
        <v>1</v>
      </c>
      <c r="AD36" s="46" t="s">
        <v>282</v>
      </c>
      <c r="AE36" s="43" t="s">
        <v>411</v>
      </c>
      <c r="AF36" s="43" t="s">
        <v>477</v>
      </c>
      <c r="AG36" s="43" t="s">
        <v>1064</v>
      </c>
      <c r="AH36" s="39" t="s">
        <v>527</v>
      </c>
      <c r="AI36" s="48" t="s">
        <v>529</v>
      </c>
    </row>
    <row r="37" spans="1:35" ht="18" thickBot="1" x14ac:dyDescent="0.4">
      <c r="A37" s="38" t="s">
        <v>53</v>
      </c>
      <c r="B37" s="39" t="s">
        <v>558</v>
      </c>
      <c r="C37" s="39" t="s">
        <v>183</v>
      </c>
      <c r="D37" s="43" t="s">
        <v>735</v>
      </c>
      <c r="E37" s="50" t="s">
        <v>736</v>
      </c>
      <c r="F37" s="42">
        <v>1.54</v>
      </c>
      <c r="G37" s="42" t="str">
        <f t="shared" si="6"/>
        <v>1-2km</v>
      </c>
      <c r="H37" s="43" t="s">
        <v>211</v>
      </c>
      <c r="I37" s="43">
        <v>53</v>
      </c>
      <c r="J37" s="44">
        <v>200</v>
      </c>
      <c r="K37" s="44" t="str">
        <f t="shared" si="7"/>
        <v>Médio</v>
      </c>
      <c r="L37" s="43" t="s">
        <v>215</v>
      </c>
      <c r="M37" s="43" t="s">
        <v>221</v>
      </c>
      <c r="N37" s="43" t="s">
        <v>220</v>
      </c>
      <c r="O37" s="43">
        <v>4.4000000000000004</v>
      </c>
      <c r="P37" s="45">
        <f>(Tabela1[Avaliação Média (0-5)] * 20) / Tabela1[Preço Médio da Diária (R$)] * 10</f>
        <v>4.4000000000000004</v>
      </c>
      <c r="Q37" s="42" t="str">
        <f t="shared" si="9"/>
        <v>Bom</v>
      </c>
      <c r="R37" s="43">
        <v>2</v>
      </c>
      <c r="S37" s="46" t="s">
        <v>1040</v>
      </c>
      <c r="T37" s="43">
        <f t="shared" si="10"/>
        <v>1</v>
      </c>
      <c r="U37" s="46">
        <f t="shared" si="11"/>
        <v>1</v>
      </c>
      <c r="V37" s="46">
        <f>IF(OR(ISNUMBER(FIND("café da manhã",S37)), ISNUMBER(FIND("café da manha",O37)), ISNUMBER(FIND("cafe da manha",S37)), ISNUMBER(FIND("café da amanhã incluído",S37))), 1, 0)</f>
        <v>0</v>
      </c>
      <c r="W37" s="46">
        <f>IF(OR(ISNUMBER(FIND("estacionamento",S37)),ISNUMBER(FIND("estaciona",S37))), 1, 0)</f>
        <v>1</v>
      </c>
      <c r="X37" s="43">
        <f>IF(OR(ISNUMBER(FIND("serviço de quarto",S37)), ISNUMBER(FIND("servico de quarto",O37)), ISNUMBER(FIND("room service",S37))), 1, 0)</f>
        <v>1</v>
      </c>
      <c r="Y37" s="43">
        <f>IF(OR(ISNUMBER(FIND("restaurante",S37)), ISNUMBER(FIND("bar",S37))), 1, 0)</f>
        <v>0</v>
      </c>
      <c r="Z37" s="43">
        <f>IF(OR(ISNUMBER(FIND("academia",S37)), ISNUMBER(FIND("fitness",S37)), ISNUMBER(FIND("ginásio",S37))), 1, 0)</f>
        <v>0</v>
      </c>
      <c r="AA37" s="43">
        <f>IF(ISNUMBER(FIND("piscina",S37)), 1, 0)</f>
        <v>0</v>
      </c>
      <c r="AB37" s="43">
        <f>IF(OR(ISNUMBER(FIND("acessível",S37)),ISNUMBER(FIND("deficiência",S37)), ISNUMBER(FIND("cadeirante",S37)), ISNUMBER(FIND("PCD",S37))), 1, 0)</f>
        <v>1</v>
      </c>
      <c r="AC37" s="43">
        <f t="shared" si="12"/>
        <v>1</v>
      </c>
      <c r="AD37" s="46" t="s">
        <v>283</v>
      </c>
      <c r="AE37" s="43" t="s">
        <v>404</v>
      </c>
      <c r="AF37" s="43" t="s">
        <v>478</v>
      </c>
      <c r="AG37" s="43" t="s">
        <v>1064</v>
      </c>
      <c r="AH37" s="39" t="s">
        <v>527</v>
      </c>
      <c r="AI37" s="48" t="s">
        <v>529</v>
      </c>
    </row>
    <row r="38" spans="1:35" ht="18" thickBot="1" x14ac:dyDescent="0.4">
      <c r="A38" s="38" t="s">
        <v>54</v>
      </c>
      <c r="B38" s="39" t="s">
        <v>559</v>
      </c>
      <c r="C38" s="39" t="s">
        <v>189</v>
      </c>
      <c r="D38" s="43" t="s">
        <v>737</v>
      </c>
      <c r="E38" s="50" t="s">
        <v>738</v>
      </c>
      <c r="F38" s="42">
        <v>2.85</v>
      </c>
      <c r="G38" s="42" t="str">
        <f t="shared" si="6"/>
        <v>2-3km</v>
      </c>
      <c r="H38" s="43" t="s">
        <v>211</v>
      </c>
      <c r="I38" s="43">
        <v>399</v>
      </c>
      <c r="J38" s="44">
        <v>339.5</v>
      </c>
      <c r="K38" s="44" t="str">
        <f t="shared" si="7"/>
        <v>Médio</v>
      </c>
      <c r="L38" s="43" t="s">
        <v>215</v>
      </c>
      <c r="M38" s="43" t="s">
        <v>220</v>
      </c>
      <c r="N38" s="43" t="s">
        <v>220</v>
      </c>
      <c r="O38" s="43">
        <v>4</v>
      </c>
      <c r="P38" s="45">
        <f>(Tabela1[Avaliação Média (0-5)] * 20) / Tabela1[Preço Médio da Diária (R$)] * 10</f>
        <v>2.3564064801178204</v>
      </c>
      <c r="Q38" s="42" t="str">
        <f t="shared" si="9"/>
        <v>Regular</v>
      </c>
      <c r="R38" s="43">
        <v>2</v>
      </c>
      <c r="S38" s="46" t="s">
        <v>1043</v>
      </c>
      <c r="T38" s="43">
        <f t="shared" si="10"/>
        <v>1</v>
      </c>
      <c r="U38" s="46">
        <f t="shared" si="11"/>
        <v>1</v>
      </c>
      <c r="V38" s="46">
        <f>IF(OR(ISNUMBER(FIND("café da manhã",S38)), ISNUMBER(FIND("café da manha",O38)), ISNUMBER(FIND("cafe da manha",S38)), ISNUMBER(FIND("café da amanhã incluído",S38))), 1, 0)</f>
        <v>0</v>
      </c>
      <c r="W38" s="46">
        <f>IF(OR(ISNUMBER(FIND("estacionamento",S38)),ISNUMBER(FIND("estaciona",S38))), 1, 0)</f>
        <v>1</v>
      </c>
      <c r="X38" s="43">
        <f>IF(OR(ISNUMBER(FIND("serviço de quarto",S38)), ISNUMBER(FIND("servico de quarto",O38)), ISNUMBER(FIND("room service",S38))), 1, 0)</f>
        <v>1</v>
      </c>
      <c r="Y38" s="43">
        <f>IF(OR(ISNUMBER(FIND("restaurante",S38)), ISNUMBER(FIND("bar",S38))), 1, 0)</f>
        <v>1</v>
      </c>
      <c r="Z38" s="43">
        <f>IF(OR(ISNUMBER(FIND("academia",S38)), ISNUMBER(FIND("fitness",S38)), ISNUMBER(FIND("ginásio",S38))), 1, 0)</f>
        <v>0</v>
      </c>
      <c r="AA38" s="43">
        <f>IF(ISNUMBER(FIND("piscina",S38)), 1, 0)</f>
        <v>0</v>
      </c>
      <c r="AB38" s="43">
        <f>IF(OR(ISNUMBER(FIND("acessível",S38)),ISNUMBER(FIND("deficiência",S38)), ISNUMBER(FIND("cadeirante",S38)), ISNUMBER(FIND("PCD",S38))), 1, 0)</f>
        <v>1</v>
      </c>
      <c r="AC38" s="43">
        <f t="shared" si="12"/>
        <v>1</v>
      </c>
      <c r="AD38" s="46" t="s">
        <v>284</v>
      </c>
      <c r="AE38" s="43" t="s">
        <v>405</v>
      </c>
      <c r="AF38" s="43" t="s">
        <v>479</v>
      </c>
      <c r="AG38" s="43" t="s">
        <v>1067</v>
      </c>
      <c r="AH38" s="39" t="s">
        <v>528</v>
      </c>
      <c r="AI38" s="48" t="s">
        <v>531</v>
      </c>
    </row>
    <row r="39" spans="1:35" ht="18" thickBot="1" x14ac:dyDescent="0.4">
      <c r="A39" s="38" t="s">
        <v>55</v>
      </c>
      <c r="B39" s="39" t="s">
        <v>560</v>
      </c>
      <c r="C39" s="39" t="s">
        <v>190</v>
      </c>
      <c r="D39" s="43" t="s">
        <v>739</v>
      </c>
      <c r="E39" s="50" t="s">
        <v>740</v>
      </c>
      <c r="F39" s="42">
        <v>2.89</v>
      </c>
      <c r="G39" s="42" t="str">
        <f t="shared" si="6"/>
        <v>2-3km</v>
      </c>
      <c r="H39" s="43" t="s">
        <v>211</v>
      </c>
      <c r="I39" s="43">
        <v>16</v>
      </c>
      <c r="J39" s="44">
        <v>160.66</v>
      </c>
      <c r="K39" s="44" t="str">
        <f t="shared" si="7"/>
        <v>Econômico</v>
      </c>
      <c r="L39" s="43" t="s">
        <v>215</v>
      </c>
      <c r="M39" s="43" t="s">
        <v>218</v>
      </c>
      <c r="N39" s="43" t="s">
        <v>220</v>
      </c>
      <c r="O39" s="43">
        <v>3.8</v>
      </c>
      <c r="P39" s="45">
        <f>(Tabela1[Avaliação Média (0-5)] * 20) / Tabela1[Preço Médio da Diária (R$)] * 10</f>
        <v>4.7304867421884724</v>
      </c>
      <c r="Q39" s="42" t="str">
        <f t="shared" si="9"/>
        <v>Bom</v>
      </c>
      <c r="R39" s="43">
        <v>2</v>
      </c>
      <c r="S39" s="46" t="s">
        <v>236</v>
      </c>
      <c r="T39" s="43">
        <f t="shared" si="10"/>
        <v>1</v>
      </c>
      <c r="U39" s="46">
        <f t="shared" si="11"/>
        <v>1</v>
      </c>
      <c r="V39" s="46">
        <f>IF(OR(ISNUMBER(FIND("café da manhã",S39)), ISNUMBER(FIND("café da manha",O39)), ISNUMBER(FIND("cafe da manha",S39)), ISNUMBER(FIND("café da amanhã incluído",S39))), 1, 0)</f>
        <v>0</v>
      </c>
      <c r="W39" s="46">
        <f>IF(OR(ISNUMBER(FIND("estacionamento",S39)),ISNUMBER(FIND("estaciona",S39))), 1, 0)</f>
        <v>0</v>
      </c>
      <c r="X39" s="43">
        <f>IF(OR(ISNUMBER(FIND("serviço de quarto",S39)), ISNUMBER(FIND("servico de quarto",O39)), ISNUMBER(FIND("room service",S39))), 1, 0)</f>
        <v>0</v>
      </c>
      <c r="Y39" s="43">
        <f>IF(OR(ISNUMBER(FIND("restaurante",S39)), ISNUMBER(FIND("bar",S39))), 1, 0)</f>
        <v>0</v>
      </c>
      <c r="Z39" s="43">
        <f>IF(OR(ISNUMBER(FIND("academia",S39)), ISNUMBER(FIND("fitness",S39)), ISNUMBER(FIND("ginásio",S39))), 1, 0)</f>
        <v>0</v>
      </c>
      <c r="AA39" s="43">
        <f>IF(ISNUMBER(FIND("piscina",S39)), 1, 0)</f>
        <v>0</v>
      </c>
      <c r="AB39" s="43">
        <f>IF(OR(ISNUMBER(FIND("acessível",S39)),ISNUMBER(FIND("deficiência",S39)), ISNUMBER(FIND("cadeirante",S39)), ISNUMBER(FIND("PCD",S39))), 1, 0)</f>
        <v>0</v>
      </c>
      <c r="AC39" s="43">
        <f t="shared" si="12"/>
        <v>1</v>
      </c>
      <c r="AD39" s="46" t="s">
        <v>285</v>
      </c>
      <c r="AE39" s="43" t="s">
        <v>412</v>
      </c>
      <c r="AF39" s="43" t="s">
        <v>480</v>
      </c>
      <c r="AG39" s="43" t="s">
        <v>1064</v>
      </c>
      <c r="AH39" s="39" t="s">
        <v>528</v>
      </c>
      <c r="AI39" s="48" t="s">
        <v>530</v>
      </c>
    </row>
    <row r="40" spans="1:35" ht="18" thickBot="1" x14ac:dyDescent="0.4">
      <c r="A40" s="38" t="s">
        <v>56</v>
      </c>
      <c r="B40" s="39" t="s">
        <v>561</v>
      </c>
      <c r="C40" s="39" t="s">
        <v>191</v>
      </c>
      <c r="D40" s="40" t="s">
        <v>741</v>
      </c>
      <c r="E40" s="50" t="s">
        <v>742</v>
      </c>
      <c r="F40" s="42">
        <v>2.09</v>
      </c>
      <c r="G40" s="42" t="str">
        <f t="shared" si="6"/>
        <v>2-3km</v>
      </c>
      <c r="H40" s="43" t="s">
        <v>211</v>
      </c>
      <c r="I40" s="43">
        <v>17</v>
      </c>
      <c r="J40" s="44">
        <v>177</v>
      </c>
      <c r="K40" s="44" t="str">
        <f t="shared" si="7"/>
        <v>Econômico</v>
      </c>
      <c r="L40" s="43" t="s">
        <v>215</v>
      </c>
      <c r="M40" s="43" t="s">
        <v>218</v>
      </c>
      <c r="N40" s="43" t="s">
        <v>220</v>
      </c>
      <c r="O40" s="43">
        <v>3.5</v>
      </c>
      <c r="P40" s="45">
        <f>(Tabela1[Avaliação Média (0-5)] * 20) / Tabela1[Preço Médio da Diária (R$)] * 10</f>
        <v>3.9548022598870061</v>
      </c>
      <c r="Q40" s="42" t="str">
        <f t="shared" si="9"/>
        <v>Regular</v>
      </c>
      <c r="R40" s="43">
        <v>2</v>
      </c>
      <c r="S40" s="46" t="s">
        <v>1000</v>
      </c>
      <c r="T40" s="43">
        <f t="shared" si="10"/>
        <v>1</v>
      </c>
      <c r="U40" s="46">
        <f t="shared" si="11"/>
        <v>1</v>
      </c>
      <c r="V40" s="46">
        <f>IF(OR(ISNUMBER(FIND("café da manhã",S40)), ISNUMBER(FIND("café da manha",O40)), ISNUMBER(FIND("cafe da manha",S40)), ISNUMBER(FIND("café da amanhã incluído",S40))), 1, 0)</f>
        <v>0</v>
      </c>
      <c r="W40" s="46">
        <f>IF(OR(ISNUMBER(FIND("estacionamento",S40)),ISNUMBER(FIND("estaciona",S40))), 1, 0)</f>
        <v>0</v>
      </c>
      <c r="X40" s="43">
        <f>IF(OR(ISNUMBER(FIND("serviço de quarto",S40)), ISNUMBER(FIND("servico de quarto",O40)), ISNUMBER(FIND("room service",S40))), 1, 0)</f>
        <v>1</v>
      </c>
      <c r="Y40" s="43">
        <f>IF(OR(ISNUMBER(FIND("restaurante",S40)), ISNUMBER(FIND("bar",S40))), 1, 0)</f>
        <v>0</v>
      </c>
      <c r="Z40" s="43">
        <f>IF(OR(ISNUMBER(FIND("academia",S40)), ISNUMBER(FIND("fitness",S40)), ISNUMBER(FIND("ginásio",S40))), 1, 0)</f>
        <v>0</v>
      </c>
      <c r="AA40" s="43">
        <f>IF(ISNUMBER(FIND("piscina",S40)), 1, 0)</f>
        <v>0</v>
      </c>
      <c r="AB40" s="43">
        <f>IF(OR(ISNUMBER(FIND("acessível",S40)),ISNUMBER(FIND("deficiência",S40)), ISNUMBER(FIND("cadeirante",S40)), ISNUMBER(FIND("PCD",S40))), 1, 0)</f>
        <v>0</v>
      </c>
      <c r="AC40" s="43">
        <f t="shared" si="12"/>
        <v>1</v>
      </c>
      <c r="AD40" s="46" t="s">
        <v>286</v>
      </c>
      <c r="AE40" s="43" t="s">
        <v>413</v>
      </c>
      <c r="AF40" s="43" t="s">
        <v>481</v>
      </c>
      <c r="AG40" s="43" t="s">
        <v>1067</v>
      </c>
      <c r="AH40" s="39" t="s">
        <v>528</v>
      </c>
      <c r="AI40" s="48" t="s">
        <v>530</v>
      </c>
    </row>
    <row r="41" spans="1:35" ht="18" thickBot="1" x14ac:dyDescent="0.4">
      <c r="A41" s="38" t="s">
        <v>57</v>
      </c>
      <c r="B41" s="39" t="s">
        <v>562</v>
      </c>
      <c r="C41" s="39" t="s">
        <v>185</v>
      </c>
      <c r="D41" s="43" t="s">
        <v>743</v>
      </c>
      <c r="E41" s="50" t="s">
        <v>744</v>
      </c>
      <c r="F41" s="42">
        <v>1.6</v>
      </c>
      <c r="G41" s="42" t="str">
        <f t="shared" si="6"/>
        <v>1-2km</v>
      </c>
      <c r="H41" s="43" t="s">
        <v>211</v>
      </c>
      <c r="I41" s="43">
        <v>21</v>
      </c>
      <c r="J41" s="44">
        <v>155</v>
      </c>
      <c r="K41" s="44" t="str">
        <f t="shared" si="7"/>
        <v>Econômico</v>
      </c>
      <c r="L41" s="43" t="s">
        <v>215</v>
      </c>
      <c r="M41" s="43" t="s">
        <v>221</v>
      </c>
      <c r="N41" s="43" t="s">
        <v>220</v>
      </c>
      <c r="O41" s="43">
        <v>4.0999999999999996</v>
      </c>
      <c r="P41" s="45">
        <f>(Tabela1[Avaliação Média (0-5)] * 20) / Tabela1[Preço Médio da Diária (R$)] * 10</f>
        <v>5.2903225806451619</v>
      </c>
      <c r="Q41" s="42" t="str">
        <f t="shared" si="9"/>
        <v>Bom</v>
      </c>
      <c r="R41" s="43">
        <v>2</v>
      </c>
      <c r="S41" s="46" t="s">
        <v>1001</v>
      </c>
      <c r="T41" s="43">
        <f t="shared" si="10"/>
        <v>1</v>
      </c>
      <c r="U41" s="46">
        <f t="shared" si="11"/>
        <v>0</v>
      </c>
      <c r="V41" s="46">
        <f>IF(OR(ISNUMBER(FIND("café da manhã",S41)), ISNUMBER(FIND("café da manha",O41)), ISNUMBER(FIND("cafe da manha",S41)), ISNUMBER(FIND("café da amanhã incluído",S41))), 1, 0)</f>
        <v>1</v>
      </c>
      <c r="W41" s="46">
        <f>IF(OR(ISNUMBER(FIND("estacionamento",S41)),ISNUMBER(FIND("estaciona",S41))), 1, 0)</f>
        <v>0</v>
      </c>
      <c r="X41" s="43">
        <f>IF(OR(ISNUMBER(FIND("serviço de quarto",S41)), ISNUMBER(FIND("servico de quarto",O41)), ISNUMBER(FIND("room service",S41))), 1, 0)</f>
        <v>1</v>
      </c>
      <c r="Y41" s="43">
        <f>IF(OR(ISNUMBER(FIND("restaurante",S41)), ISNUMBER(FIND("bar",S41))), 1, 0)</f>
        <v>0</v>
      </c>
      <c r="Z41" s="43">
        <f>IF(OR(ISNUMBER(FIND("academia",S41)), ISNUMBER(FIND("fitness",S41)), ISNUMBER(FIND("ginásio",S41))), 1, 0)</f>
        <v>0</v>
      </c>
      <c r="AA41" s="43">
        <f>IF(ISNUMBER(FIND("piscina",S41)), 1, 0)</f>
        <v>0</v>
      </c>
      <c r="AB41" s="43">
        <f>IF(OR(ISNUMBER(FIND("acessível",S41)),ISNUMBER(FIND("deficiência",S41)), ISNUMBER(FIND("cadeirante",S41)), ISNUMBER(FIND("PCD",S41))), 1, 0)</f>
        <v>0</v>
      </c>
      <c r="AC41" s="43">
        <f t="shared" si="12"/>
        <v>1</v>
      </c>
      <c r="AD41" s="46" t="s">
        <v>287</v>
      </c>
      <c r="AE41" s="43" t="s">
        <v>407</v>
      </c>
      <c r="AF41" s="43" t="s">
        <v>482</v>
      </c>
      <c r="AG41" s="43" t="s">
        <v>1064</v>
      </c>
      <c r="AH41" s="39" t="s">
        <v>527</v>
      </c>
      <c r="AI41" s="48" t="s">
        <v>529</v>
      </c>
    </row>
    <row r="42" spans="1:35" ht="18" thickBot="1" x14ac:dyDescent="0.4">
      <c r="A42" s="38" t="s">
        <v>58</v>
      </c>
      <c r="B42" s="39" t="s">
        <v>563</v>
      </c>
      <c r="C42" s="39" t="s">
        <v>192</v>
      </c>
      <c r="D42" s="43" t="s">
        <v>745</v>
      </c>
      <c r="E42" s="50" t="s">
        <v>746</v>
      </c>
      <c r="F42" s="42">
        <v>2.06</v>
      </c>
      <c r="G42" s="42" t="str">
        <f t="shared" si="6"/>
        <v>2-3km</v>
      </c>
      <c r="H42" s="43" t="s">
        <v>211</v>
      </c>
      <c r="I42" s="43">
        <v>22</v>
      </c>
      <c r="J42" s="44">
        <v>129</v>
      </c>
      <c r="K42" s="44" t="str">
        <f t="shared" si="7"/>
        <v>Econômico</v>
      </c>
      <c r="L42" s="43" t="s">
        <v>215</v>
      </c>
      <c r="M42" s="43" t="s">
        <v>218</v>
      </c>
      <c r="N42" s="43" t="s">
        <v>218</v>
      </c>
      <c r="O42" s="43">
        <v>3.7</v>
      </c>
      <c r="P42" s="45">
        <f>(Tabela1[Avaliação Média (0-5)] * 20) / Tabela1[Preço Médio da Diária (R$)] * 10</f>
        <v>5.7364341085271322</v>
      </c>
      <c r="Q42" s="42" t="str">
        <f t="shared" si="9"/>
        <v>Bom</v>
      </c>
      <c r="R42" s="43">
        <v>2</v>
      </c>
      <c r="S42" s="46" t="s">
        <v>1002</v>
      </c>
      <c r="T42" s="43">
        <f t="shared" si="10"/>
        <v>1</v>
      </c>
      <c r="U42" s="46">
        <f t="shared" si="11"/>
        <v>0</v>
      </c>
      <c r="V42" s="46">
        <f>IF(OR(ISNUMBER(FIND("café da manhã",S42)), ISNUMBER(FIND("café da manha",O42)), ISNUMBER(FIND("cafe da manha",S42)), ISNUMBER(FIND("café da amanhã incluído",S42))), 1, 0)</f>
        <v>1</v>
      </c>
      <c r="W42" s="46">
        <f>IF(OR(ISNUMBER(FIND("estacionamento",S42)),ISNUMBER(FIND("estaciona",S42))), 1, 0)</f>
        <v>1</v>
      </c>
      <c r="X42" s="43">
        <f>IF(OR(ISNUMBER(FIND("serviço de quarto",S42)), ISNUMBER(FIND("servico de quarto",O42)), ISNUMBER(FIND("room service",S42))), 1, 0)</f>
        <v>1</v>
      </c>
      <c r="Y42" s="43">
        <f>IF(OR(ISNUMBER(FIND("restaurante",S42)), ISNUMBER(FIND("bar",S42))), 1, 0)</f>
        <v>0</v>
      </c>
      <c r="Z42" s="43">
        <f>IF(OR(ISNUMBER(FIND("academia",S42)), ISNUMBER(FIND("fitness",S42)), ISNUMBER(FIND("ginásio",S42))), 1, 0)</f>
        <v>0</v>
      </c>
      <c r="AA42" s="43">
        <f>IF(ISNUMBER(FIND("piscina",S42)), 1, 0)</f>
        <v>0</v>
      </c>
      <c r="AB42" s="43">
        <f>IF(OR(ISNUMBER(FIND("acessível",S42)),ISNUMBER(FIND("deficiência",S42)), ISNUMBER(FIND("cadeirante",S42)), ISNUMBER(FIND("PCD",S42))), 1, 0)</f>
        <v>0</v>
      </c>
      <c r="AC42" s="43">
        <f t="shared" si="12"/>
        <v>1</v>
      </c>
      <c r="AD42" s="46" t="s">
        <v>288</v>
      </c>
      <c r="AE42" s="43" t="s">
        <v>414</v>
      </c>
      <c r="AF42" s="43" t="s">
        <v>483</v>
      </c>
      <c r="AG42" s="43" t="s">
        <v>1064</v>
      </c>
      <c r="AH42" s="39" t="s">
        <v>527</v>
      </c>
      <c r="AI42" s="48" t="s">
        <v>529</v>
      </c>
    </row>
    <row r="43" spans="1:35" ht="18" thickBot="1" x14ac:dyDescent="0.4">
      <c r="A43" s="38" t="s">
        <v>59</v>
      </c>
      <c r="B43" s="39" t="s">
        <v>564</v>
      </c>
      <c r="C43" s="39" t="s">
        <v>193</v>
      </c>
      <c r="D43" s="43" t="s">
        <v>747</v>
      </c>
      <c r="E43" s="50" t="s">
        <v>748</v>
      </c>
      <c r="F43" s="42">
        <v>2.81</v>
      </c>
      <c r="G43" s="42" t="str">
        <f t="shared" si="6"/>
        <v>2-3km</v>
      </c>
      <c r="H43" s="43" t="s">
        <v>211</v>
      </c>
      <c r="I43" s="43">
        <v>30</v>
      </c>
      <c r="J43" s="44">
        <v>161.25</v>
      </c>
      <c r="K43" s="44" t="str">
        <f t="shared" si="7"/>
        <v>Econômico</v>
      </c>
      <c r="L43" s="43" t="s">
        <v>215</v>
      </c>
      <c r="M43" s="43" t="s">
        <v>218</v>
      </c>
      <c r="N43" s="43" t="s">
        <v>220</v>
      </c>
      <c r="O43" s="43">
        <v>4</v>
      </c>
      <c r="P43" s="45">
        <f>(Tabela1[Avaliação Média (0-5)] * 20) / Tabela1[Preço Médio da Diária (R$)] * 10</f>
        <v>4.9612403100775193</v>
      </c>
      <c r="Q43" s="42" t="str">
        <f t="shared" si="9"/>
        <v>Bom</v>
      </c>
      <c r="R43" s="43">
        <v>2</v>
      </c>
      <c r="S43" s="46" t="s">
        <v>1060</v>
      </c>
      <c r="T43" s="43">
        <f t="shared" si="10"/>
        <v>1</v>
      </c>
      <c r="U43" s="46">
        <f t="shared" si="11"/>
        <v>1</v>
      </c>
      <c r="V43" s="46">
        <f>IF(OR(ISNUMBER(FIND("café da manhã",S43)), ISNUMBER(FIND("café da manha",O43)), ISNUMBER(FIND("cafe da manha",S43)), ISNUMBER(FIND("café da amanhã incluído",S43))), 1, 0)</f>
        <v>1</v>
      </c>
      <c r="W43" s="46">
        <f>IF(OR(ISNUMBER(FIND("estacionamento",S43)),ISNUMBER(FIND("estaciona",S43))), 1, 0)</f>
        <v>0</v>
      </c>
      <c r="X43" s="43">
        <f>IF(OR(ISNUMBER(FIND("serviço de quarto",S43)), ISNUMBER(FIND("servico de quarto",O43)), ISNUMBER(FIND("room service",S43))), 1, 0)</f>
        <v>0</v>
      </c>
      <c r="Y43" s="43">
        <f>IF(OR(ISNUMBER(FIND("restaurante",S43)), ISNUMBER(FIND("bar",S43))), 1, 0)</f>
        <v>0</v>
      </c>
      <c r="Z43" s="43">
        <f>IF(OR(ISNUMBER(FIND("academia",S43)), ISNUMBER(FIND("fitness",S43)), ISNUMBER(FIND("ginásio",S43))), 1, 0)</f>
        <v>0</v>
      </c>
      <c r="AA43" s="43">
        <f>IF(ISNUMBER(FIND("piscina",S43)), 1, 0)</f>
        <v>0</v>
      </c>
      <c r="AB43" s="43">
        <f>IF(OR(ISNUMBER(FIND("acessível",S43)),ISNUMBER(FIND("deficiência",S43)), ISNUMBER(FIND("cadeirante",S43)), ISNUMBER(FIND("PCD",S43))), 1, 0)</f>
        <v>1</v>
      </c>
      <c r="AC43" s="43">
        <f t="shared" si="12"/>
        <v>0</v>
      </c>
      <c r="AD43" s="46" t="s">
        <v>289</v>
      </c>
      <c r="AE43" s="43" t="s">
        <v>409</v>
      </c>
      <c r="AF43" s="43" t="s">
        <v>484</v>
      </c>
      <c r="AG43" s="43" t="s">
        <v>526</v>
      </c>
      <c r="AH43" s="39" t="s">
        <v>527</v>
      </c>
      <c r="AI43" s="48" t="s">
        <v>529</v>
      </c>
    </row>
    <row r="44" spans="1:35" ht="18" thickBot="1" x14ac:dyDescent="0.4">
      <c r="A44" s="38" t="s">
        <v>60</v>
      </c>
      <c r="B44" s="39" t="s">
        <v>565</v>
      </c>
      <c r="C44" s="39" t="s">
        <v>193</v>
      </c>
      <c r="D44" s="43" t="s">
        <v>749</v>
      </c>
      <c r="E44" s="50" t="s">
        <v>750</v>
      </c>
      <c r="F44" s="42">
        <v>2.97</v>
      </c>
      <c r="G44" s="42" t="str">
        <f t="shared" si="6"/>
        <v>2-3km</v>
      </c>
      <c r="H44" s="43" t="s">
        <v>211</v>
      </c>
      <c r="I44" s="43">
        <v>28</v>
      </c>
      <c r="J44" s="44">
        <v>170</v>
      </c>
      <c r="K44" s="44" t="str">
        <f t="shared" si="7"/>
        <v>Econômico</v>
      </c>
      <c r="L44" s="43" t="s">
        <v>215</v>
      </c>
      <c r="M44" s="43" t="s">
        <v>218</v>
      </c>
      <c r="N44" s="43" t="s">
        <v>220</v>
      </c>
      <c r="O44" s="43">
        <v>3.7</v>
      </c>
      <c r="P44" s="45">
        <f>(Tabela1[Avaliação Média (0-5)] * 20) / Tabela1[Preço Médio da Diária (R$)] * 10</f>
        <v>4.3529411764705888</v>
      </c>
      <c r="Q44" s="42" t="str">
        <f t="shared" si="9"/>
        <v>Bom</v>
      </c>
      <c r="R44" s="43">
        <v>2</v>
      </c>
      <c r="S44" s="46" t="s">
        <v>1061</v>
      </c>
      <c r="T44" s="43">
        <f t="shared" si="10"/>
        <v>1</v>
      </c>
      <c r="U44" s="46">
        <f t="shared" si="11"/>
        <v>1</v>
      </c>
      <c r="V44" s="46">
        <f>IF(OR(ISNUMBER(FIND("café da manhã",S44)), ISNUMBER(FIND("café da manha",O44)), ISNUMBER(FIND("cafe da manha",S44)), ISNUMBER(FIND("café da amanhã incluído",S44))), 1, 0)</f>
        <v>0</v>
      </c>
      <c r="W44" s="46">
        <f>IF(OR(ISNUMBER(FIND("estacionamento",S44)),ISNUMBER(FIND("estaciona",S44))), 1, 0)</f>
        <v>0</v>
      </c>
      <c r="X44" s="43">
        <f>IF(OR(ISNUMBER(FIND("serviço de quarto",S44)), ISNUMBER(FIND("servico de quarto",O44)), ISNUMBER(FIND("room service",S44))), 1, 0)</f>
        <v>0</v>
      </c>
      <c r="Y44" s="43">
        <f>IF(OR(ISNUMBER(FIND("restaurante",S44)), ISNUMBER(FIND("bar",S44))), 1, 0)</f>
        <v>0</v>
      </c>
      <c r="Z44" s="43">
        <f>IF(OR(ISNUMBER(FIND("academia",S44)), ISNUMBER(FIND("fitness",S44)), ISNUMBER(FIND("ginásio",S44))), 1, 0)</f>
        <v>0</v>
      </c>
      <c r="AA44" s="43">
        <f>IF(ISNUMBER(FIND("piscina",S44)), 1, 0)</f>
        <v>0</v>
      </c>
      <c r="AB44" s="43">
        <f>IF(OR(ISNUMBER(FIND("acessível",S44)),ISNUMBER(FIND("deficiência",S44)), ISNUMBER(FIND("cadeirante",S44)), ISNUMBER(FIND("PCD",S44))), 1, 0)</f>
        <v>1</v>
      </c>
      <c r="AC44" s="43">
        <f t="shared" si="12"/>
        <v>1</v>
      </c>
      <c r="AD44" s="46" t="s">
        <v>290</v>
      </c>
      <c r="AE44" s="43" t="s">
        <v>415</v>
      </c>
      <c r="AF44" s="43" t="s">
        <v>485</v>
      </c>
      <c r="AG44" s="43" t="s">
        <v>1064</v>
      </c>
      <c r="AH44" s="39" t="s">
        <v>527</v>
      </c>
      <c r="AI44" s="48" t="s">
        <v>529</v>
      </c>
    </row>
    <row r="45" spans="1:35" ht="18" thickBot="1" x14ac:dyDescent="0.4">
      <c r="A45" s="38" t="s">
        <v>61</v>
      </c>
      <c r="B45" s="39" t="s">
        <v>566</v>
      </c>
      <c r="C45" s="39" t="s">
        <v>190</v>
      </c>
      <c r="D45" s="43" t="s">
        <v>752</v>
      </c>
      <c r="E45" s="50" t="s">
        <v>751</v>
      </c>
      <c r="F45" s="42">
        <v>2.76</v>
      </c>
      <c r="G45" s="42" t="str">
        <f t="shared" si="6"/>
        <v>2-3km</v>
      </c>
      <c r="H45" s="43" t="s">
        <v>211</v>
      </c>
      <c r="I45" s="43">
        <v>15</v>
      </c>
      <c r="J45" s="44">
        <v>200</v>
      </c>
      <c r="K45" s="44" t="str">
        <f t="shared" si="7"/>
        <v>Médio</v>
      </c>
      <c r="L45" s="43" t="s">
        <v>215</v>
      </c>
      <c r="M45" s="43" t="s">
        <v>218</v>
      </c>
      <c r="N45" s="43" t="s">
        <v>220</v>
      </c>
      <c r="O45" s="43">
        <v>4.0999999999999996</v>
      </c>
      <c r="P45" s="45">
        <f>(Tabela1[Avaliação Média (0-5)] * 20) / Tabela1[Preço Médio da Diária (R$)] * 10</f>
        <v>4.0999999999999996</v>
      </c>
      <c r="Q45" s="42" t="str">
        <f t="shared" si="9"/>
        <v>Bom</v>
      </c>
      <c r="R45" s="43">
        <v>2</v>
      </c>
      <c r="S45" s="46" t="s">
        <v>1003</v>
      </c>
      <c r="T45" s="43">
        <f t="shared" si="10"/>
        <v>1</v>
      </c>
      <c r="U45" s="46">
        <f t="shared" si="11"/>
        <v>1</v>
      </c>
      <c r="V45" s="46">
        <f>IF(OR(ISNUMBER(FIND("café da manhã",S45)), ISNUMBER(FIND("café da manha",O45)), ISNUMBER(FIND("cafe da manha",S45)), ISNUMBER(FIND("café da amanhã incluído",S45))), 1, 0)</f>
        <v>1</v>
      </c>
      <c r="W45" s="46">
        <f>IF(OR(ISNUMBER(FIND("estacionamento",S45)),ISNUMBER(FIND("estaciona",S45))), 1, 0)</f>
        <v>0</v>
      </c>
      <c r="X45" s="43">
        <f>IF(OR(ISNUMBER(FIND("serviço de quarto",S45)), ISNUMBER(FIND("servico de quarto",O45)), ISNUMBER(FIND("room service",S45))), 1, 0)</f>
        <v>1</v>
      </c>
      <c r="Y45" s="43">
        <f>IF(OR(ISNUMBER(FIND("restaurante",S45)), ISNUMBER(FIND("bar",S45))), 1, 0)</f>
        <v>0</v>
      </c>
      <c r="Z45" s="43">
        <f>IF(OR(ISNUMBER(FIND("academia",S45)), ISNUMBER(FIND("fitness",S45)), ISNUMBER(FIND("ginásio",S45))), 1, 0)</f>
        <v>0</v>
      </c>
      <c r="AA45" s="43">
        <f>IF(ISNUMBER(FIND("piscina",S45)), 1, 0)</f>
        <v>0</v>
      </c>
      <c r="AB45" s="43">
        <f>IF(OR(ISNUMBER(FIND("acessível",S45)),ISNUMBER(FIND("deficiência",S45)), ISNUMBER(FIND("cadeirante",S45)), ISNUMBER(FIND("PCD",S45))), 1, 0)</f>
        <v>0</v>
      </c>
      <c r="AC45" s="43">
        <f t="shared" si="12"/>
        <v>1</v>
      </c>
      <c r="AD45" s="46" t="s">
        <v>291</v>
      </c>
      <c r="AE45" s="43" t="s">
        <v>392</v>
      </c>
      <c r="AF45" s="43" t="s">
        <v>486</v>
      </c>
      <c r="AG45" s="43" t="s">
        <v>1064</v>
      </c>
      <c r="AH45" s="39" t="s">
        <v>527</v>
      </c>
      <c r="AI45" s="48" t="s">
        <v>529</v>
      </c>
    </row>
    <row r="46" spans="1:35" ht="18" thickBot="1" x14ac:dyDescent="0.4">
      <c r="A46" s="38" t="s">
        <v>62</v>
      </c>
      <c r="B46" s="39" t="s">
        <v>567</v>
      </c>
      <c r="C46" s="39" t="s">
        <v>194</v>
      </c>
      <c r="D46" s="43" t="s">
        <v>753</v>
      </c>
      <c r="E46" s="50" t="s">
        <v>754</v>
      </c>
      <c r="F46" s="42">
        <v>1.07</v>
      </c>
      <c r="G46" s="42" t="str">
        <f t="shared" si="6"/>
        <v>1-2km</v>
      </c>
      <c r="H46" s="43" t="s">
        <v>211</v>
      </c>
      <c r="I46" s="43">
        <v>31</v>
      </c>
      <c r="J46" s="44">
        <v>106.6</v>
      </c>
      <c r="K46" s="44" t="str">
        <f t="shared" si="7"/>
        <v>Econômico</v>
      </c>
      <c r="L46" s="43" t="s">
        <v>215</v>
      </c>
      <c r="M46" s="43" t="s">
        <v>218</v>
      </c>
      <c r="N46" s="43" t="s">
        <v>220</v>
      </c>
      <c r="O46" s="43">
        <v>3.3</v>
      </c>
      <c r="P46" s="45">
        <f>(Tabela1[Avaliação Média (0-5)] * 20) / Tabela1[Preço Médio da Diária (R$)] * 10</f>
        <v>6.1913696060037529</v>
      </c>
      <c r="Q46" s="42" t="str">
        <f t="shared" si="9"/>
        <v>Excelente</v>
      </c>
      <c r="R46" s="43">
        <v>2</v>
      </c>
      <c r="S46" s="46" t="s">
        <v>1004</v>
      </c>
      <c r="T46" s="43">
        <f t="shared" si="10"/>
        <v>1</v>
      </c>
      <c r="U46" s="46">
        <f t="shared" si="11"/>
        <v>0</v>
      </c>
      <c r="V46" s="46">
        <f>IF(OR(ISNUMBER(FIND("café da manhã",S46)), ISNUMBER(FIND("café da manha",O46)), ISNUMBER(FIND("cafe da manha",S46)), ISNUMBER(FIND("café da amanhã incluído",S46))), 1, 0)</f>
        <v>0</v>
      </c>
      <c r="W46" s="46">
        <f>IF(OR(ISNUMBER(FIND("estacionamento",S46)),ISNUMBER(FIND("estaciona",S46))), 1, 0)</f>
        <v>0</v>
      </c>
      <c r="X46" s="43">
        <f>IF(OR(ISNUMBER(FIND("serviço de quarto",S46)), ISNUMBER(FIND("servico de quarto",O46)), ISNUMBER(FIND("room service",S46))), 1, 0)</f>
        <v>1</v>
      </c>
      <c r="Y46" s="43">
        <f>IF(OR(ISNUMBER(FIND("restaurante",S46)), ISNUMBER(FIND("bar",S46))), 1, 0)</f>
        <v>0</v>
      </c>
      <c r="Z46" s="43">
        <f>IF(OR(ISNUMBER(FIND("academia",S46)), ISNUMBER(FIND("fitness",S46)), ISNUMBER(FIND("ginásio",S46))), 1, 0)</f>
        <v>0</v>
      </c>
      <c r="AA46" s="43">
        <f>IF(ISNUMBER(FIND("piscina",S46)), 1, 0)</f>
        <v>0</v>
      </c>
      <c r="AB46" s="43">
        <f>IF(OR(ISNUMBER(FIND("acessível",S46)),ISNUMBER(FIND("deficiência",S46)), ISNUMBER(FIND("cadeirante",S46)), ISNUMBER(FIND("PCD",S46))), 1, 0)</f>
        <v>0</v>
      </c>
      <c r="AC46" s="43">
        <f t="shared" si="12"/>
        <v>1</v>
      </c>
      <c r="AD46" s="46" t="s">
        <v>292</v>
      </c>
      <c r="AE46" s="43" t="s">
        <v>416</v>
      </c>
      <c r="AF46" s="43" t="s">
        <v>487</v>
      </c>
      <c r="AG46" s="43" t="s">
        <v>1064</v>
      </c>
      <c r="AH46" s="39" t="s">
        <v>527</v>
      </c>
      <c r="AI46" s="48" t="s">
        <v>529</v>
      </c>
    </row>
    <row r="47" spans="1:35" ht="15" hidden="1" thickBot="1" x14ac:dyDescent="0.4">
      <c r="A47" s="12" t="s">
        <v>63</v>
      </c>
      <c r="B47" s="1" t="s">
        <v>568</v>
      </c>
      <c r="C47" s="1" t="s">
        <v>195</v>
      </c>
      <c r="D47" s="3" t="s">
        <v>755</v>
      </c>
      <c r="E47" s="4" t="s">
        <v>756</v>
      </c>
      <c r="F47" s="6">
        <v>2.9</v>
      </c>
      <c r="G47" s="6" t="str">
        <f t="shared" si="6"/>
        <v>2-3km</v>
      </c>
      <c r="H47" s="8" t="s">
        <v>211</v>
      </c>
      <c r="I47" s="8">
        <v>89</v>
      </c>
      <c r="J47" s="9">
        <v>536</v>
      </c>
      <c r="K47" s="9" t="str">
        <f t="shared" si="7"/>
        <v>Alto</v>
      </c>
      <c r="L47" s="8" t="s">
        <v>215</v>
      </c>
      <c r="M47" s="8" t="s">
        <v>218</v>
      </c>
      <c r="N47" s="8" t="s">
        <v>220</v>
      </c>
      <c r="O47" s="8">
        <v>4.4000000000000004</v>
      </c>
      <c r="P47" s="28">
        <f>(Tabela1[Avaliação Média (0-5)] * 20) / Tabela1[Preço Médio da Diária (R$)] * 10</f>
        <v>1.6417910447761195</v>
      </c>
      <c r="Q47" s="28" t="str">
        <f t="shared" si="9"/>
        <v>Baixo</v>
      </c>
      <c r="R47" s="8">
        <v>3</v>
      </c>
      <c r="S47" s="31" t="s">
        <v>1028</v>
      </c>
      <c r="T47" s="8">
        <f t="shared" si="10"/>
        <v>1</v>
      </c>
      <c r="U47" s="31">
        <f t="shared" si="11"/>
        <v>1</v>
      </c>
      <c r="V47" s="31">
        <f>IF(OR(ISNUMBER(FIND("café da manhã",S47)), ISNUMBER(FIND("café da manha",O47)), ISNUMBER(FIND("cafe da manha",S47)), ISNUMBER(FIND("café da amanhã incluído",S47))), 1, 0)</f>
        <v>1</v>
      </c>
      <c r="W47" s="31">
        <f>IF(OR(ISNUMBER(FIND("estacionamento",S47)),ISNUMBER(FIND("estaciona",S47))), 1, 0)</f>
        <v>0</v>
      </c>
      <c r="X47" s="8">
        <f>IF(OR(ISNUMBER(FIND("serviço de quarto",S47)), ISNUMBER(FIND("servico de quarto",O47)), ISNUMBER(FIND("room service",S47))), 1, 0)</f>
        <v>1</v>
      </c>
      <c r="Y47" s="8">
        <f>IF(OR(ISNUMBER(FIND("restaurante",S47)), ISNUMBER(FIND("bar",S47))), 1, 0)</f>
        <v>1</v>
      </c>
      <c r="Z47" s="8">
        <f>IF(OR(ISNUMBER(FIND("academia",S47)), ISNUMBER(FIND("fitness",S47)), ISNUMBER(FIND("ginásio",S47))), 1, 0)</f>
        <v>1</v>
      </c>
      <c r="AA47" s="8">
        <f t="shared" ref="AA47:AA54" si="13">IF(ISNUMBER(FIND("piscina",S47)), 1, 0)</f>
        <v>0</v>
      </c>
      <c r="AB47" s="8">
        <f t="shared" ref="AB47:AB59" si="14">IF(OR(ISNUMBER(FIND("acessível",S47)),ISNUMBER(FIND("deficiência",S47)), ISNUMBER(FIND("cadeirante",S47)), ISNUMBER(FIND("PCD",S47))), 1, 0)</f>
        <v>0</v>
      </c>
      <c r="AC47" s="8">
        <f t="shared" si="12"/>
        <v>1</v>
      </c>
      <c r="AD47" s="31" t="s">
        <v>293</v>
      </c>
      <c r="AE47" s="8" t="s">
        <v>417</v>
      </c>
      <c r="AF47" s="8" t="s">
        <v>488</v>
      </c>
      <c r="AG47" s="8" t="s">
        <v>524</v>
      </c>
      <c r="AH47" s="1" t="s">
        <v>528</v>
      </c>
      <c r="AI47" s="13" t="s">
        <v>533</v>
      </c>
    </row>
    <row r="48" spans="1:35" ht="18" thickBot="1" x14ac:dyDescent="0.4">
      <c r="A48" s="38" t="s">
        <v>64</v>
      </c>
      <c r="B48" s="39" t="s">
        <v>569</v>
      </c>
      <c r="C48" s="39" t="s">
        <v>195</v>
      </c>
      <c r="D48" s="43" t="s">
        <v>757</v>
      </c>
      <c r="E48" s="50" t="s">
        <v>758</v>
      </c>
      <c r="F48" s="42">
        <v>2.2000000000000002</v>
      </c>
      <c r="G48" s="42" t="str">
        <f t="shared" si="6"/>
        <v>2-3km</v>
      </c>
      <c r="H48" s="43" t="s">
        <v>211</v>
      </c>
      <c r="I48" s="43">
        <v>40</v>
      </c>
      <c r="J48" s="44">
        <v>530</v>
      </c>
      <c r="K48" s="44" t="str">
        <f t="shared" si="7"/>
        <v>Alto</v>
      </c>
      <c r="L48" s="43" t="s">
        <v>215</v>
      </c>
      <c r="M48" s="43" t="s">
        <v>219</v>
      </c>
      <c r="N48" s="43" t="s">
        <v>220</v>
      </c>
      <c r="O48" s="43">
        <v>4.5</v>
      </c>
      <c r="P48" s="45">
        <f>(Tabela1[Avaliação Média (0-5)] * 20) / Tabela1[Preço Médio da Diária (R$)] * 10</f>
        <v>1.6981132075471697</v>
      </c>
      <c r="Q48" s="42" t="str">
        <f t="shared" si="9"/>
        <v>Baixo</v>
      </c>
      <c r="R48" s="43">
        <v>3</v>
      </c>
      <c r="S48" s="46" t="s">
        <v>1044</v>
      </c>
      <c r="T48" s="43">
        <f t="shared" si="10"/>
        <v>1</v>
      </c>
      <c r="U48" s="46">
        <f t="shared" si="11"/>
        <v>1</v>
      </c>
      <c r="V48" s="46">
        <f>IF(OR(ISNUMBER(FIND("café da manhã",S48)), ISNUMBER(FIND("café da manha",O48)), ISNUMBER(FIND("cafe da manha",S48)), ISNUMBER(FIND("café da amanhã incluído",S48))), 1, 0)</f>
        <v>1</v>
      </c>
      <c r="W48" s="46">
        <f>IF(OR(ISNUMBER(FIND("estacionamento",S48)),ISNUMBER(FIND("estaciona",S48))), 1, 0)</f>
        <v>0</v>
      </c>
      <c r="X48" s="43">
        <f>IF(OR(ISNUMBER(FIND("serviço de quarto",S48)), ISNUMBER(FIND("servico de quarto",O48)), ISNUMBER(FIND("room service",S48))), 1, 0)</f>
        <v>0</v>
      </c>
      <c r="Y48" s="43">
        <f>IF(OR(ISNUMBER(FIND("restaurante",S48)), ISNUMBER(FIND("bar",S48))), 1, 0)</f>
        <v>0</v>
      </c>
      <c r="Z48" s="43">
        <f>IF(OR(ISNUMBER(FIND("academia",S48)), ISNUMBER(FIND("fitness",S48)), ISNUMBER(FIND("ginásio",S48))), 1, 0)</f>
        <v>0</v>
      </c>
      <c r="AA48" s="43">
        <f>IF(ISNUMBER(FIND("piscina",S48)), 1, 0)</f>
        <v>0</v>
      </c>
      <c r="AB48" s="43">
        <f>IF(OR(ISNUMBER(FIND("acessível",S48)),ISNUMBER(FIND("deficiência",S48)), ISNUMBER(FIND("cadeirante",S48)), ISNUMBER(FIND("PCD",S48))), 1, 0)</f>
        <v>1</v>
      </c>
      <c r="AC48" s="43">
        <f t="shared" si="12"/>
        <v>1</v>
      </c>
      <c r="AD48" s="46" t="s">
        <v>294</v>
      </c>
      <c r="AE48" s="43" t="s">
        <v>418</v>
      </c>
      <c r="AF48" s="43" t="s">
        <v>489</v>
      </c>
      <c r="AG48" s="43" t="s">
        <v>1064</v>
      </c>
      <c r="AH48" s="39" t="s">
        <v>527</v>
      </c>
      <c r="AI48" s="48" t="s">
        <v>529</v>
      </c>
    </row>
    <row r="49" spans="1:35" ht="15" hidden="1" thickBot="1" x14ac:dyDescent="0.4">
      <c r="A49" s="12" t="s">
        <v>65</v>
      </c>
      <c r="B49" s="1" t="s">
        <v>570</v>
      </c>
      <c r="C49" s="1" t="s">
        <v>196</v>
      </c>
      <c r="D49" s="3" t="s">
        <v>759</v>
      </c>
      <c r="E49" s="4" t="s">
        <v>760</v>
      </c>
      <c r="F49" s="6">
        <v>2.5</v>
      </c>
      <c r="G49" s="6" t="str">
        <f t="shared" si="6"/>
        <v>2-3km</v>
      </c>
      <c r="H49" s="8" t="s">
        <v>211</v>
      </c>
      <c r="I49" s="8">
        <v>23</v>
      </c>
      <c r="J49" s="9">
        <v>459</v>
      </c>
      <c r="K49" s="9" t="str">
        <f t="shared" si="7"/>
        <v>Alto</v>
      </c>
      <c r="L49" s="8" t="s">
        <v>215</v>
      </c>
      <c r="M49" s="8" t="s">
        <v>218</v>
      </c>
      <c r="N49" s="8" t="s">
        <v>220</v>
      </c>
      <c r="O49" s="8">
        <v>4.4000000000000004</v>
      </c>
      <c r="P49" s="28">
        <f>(Tabela1[Avaliação Média (0-5)] * 20) / Tabela1[Preço Médio da Diária (R$)] * 10</f>
        <v>1.9172113289760349</v>
      </c>
      <c r="Q49" s="28" t="str">
        <f t="shared" si="9"/>
        <v>Baixo</v>
      </c>
      <c r="R49" s="8">
        <v>3</v>
      </c>
      <c r="S49" s="31" t="s">
        <v>1029</v>
      </c>
      <c r="T49" s="8">
        <f t="shared" si="10"/>
        <v>1</v>
      </c>
      <c r="U49" s="31">
        <f t="shared" si="11"/>
        <v>1</v>
      </c>
      <c r="V49" s="31">
        <f>IF(OR(ISNUMBER(FIND("café da manhã",S49)), ISNUMBER(FIND("café da manha",O49)), ISNUMBER(FIND("cafe da manha",S49)), ISNUMBER(FIND("café da amanhã incluído",S49))), 1, 0)</f>
        <v>1</v>
      </c>
      <c r="W49" s="31">
        <f>IF(OR(ISNUMBER(FIND("estacionamento",S49)),ISNUMBER(FIND("estaciona",S49))), 1, 0)</f>
        <v>0</v>
      </c>
      <c r="X49" s="8">
        <f>IF(OR(ISNUMBER(FIND("serviço de quarto",S49)), ISNUMBER(FIND("servico de quarto",O49)), ISNUMBER(FIND("room service",S49))), 1, 0)</f>
        <v>1</v>
      </c>
      <c r="Y49" s="8">
        <f>IF(OR(ISNUMBER(FIND("restaurante",S49)), ISNUMBER(FIND("bar",S49))), 1, 0)</f>
        <v>1</v>
      </c>
      <c r="Z49" s="8">
        <f>IF(OR(ISNUMBER(FIND("academia",S49)), ISNUMBER(FIND("fitness",S49)), ISNUMBER(FIND("ginásio",S49))), 1, 0)</f>
        <v>1</v>
      </c>
      <c r="AA49" s="8">
        <f t="shared" si="13"/>
        <v>0</v>
      </c>
      <c r="AB49" s="8">
        <f t="shared" si="14"/>
        <v>0</v>
      </c>
      <c r="AC49" s="8">
        <f t="shared" si="12"/>
        <v>1</v>
      </c>
      <c r="AD49" s="31" t="s">
        <v>295</v>
      </c>
      <c r="AE49" s="8" t="s">
        <v>418</v>
      </c>
      <c r="AF49" s="8" t="s">
        <v>488</v>
      </c>
      <c r="AG49" s="8" t="s">
        <v>524</v>
      </c>
      <c r="AH49" s="1" t="s">
        <v>528</v>
      </c>
      <c r="AI49" s="13" t="s">
        <v>533</v>
      </c>
    </row>
    <row r="50" spans="1:35" ht="15" hidden="1" thickBot="1" x14ac:dyDescent="0.4">
      <c r="A50" s="12" t="s">
        <v>66</v>
      </c>
      <c r="B50" s="1" t="s">
        <v>571</v>
      </c>
      <c r="C50" s="1" t="s">
        <v>179</v>
      </c>
      <c r="D50" s="3" t="s">
        <v>761</v>
      </c>
      <c r="E50" s="4" t="s">
        <v>762</v>
      </c>
      <c r="F50" s="6">
        <v>2.1</v>
      </c>
      <c r="G50" s="6" t="str">
        <f t="shared" si="6"/>
        <v>2-3km</v>
      </c>
      <c r="H50" s="8" t="s">
        <v>211</v>
      </c>
      <c r="I50" s="8">
        <v>22</v>
      </c>
      <c r="J50" s="9">
        <v>410</v>
      </c>
      <c r="K50" s="9" t="str">
        <f t="shared" si="7"/>
        <v>Alto</v>
      </c>
      <c r="L50" s="8" t="s">
        <v>215</v>
      </c>
      <c r="M50" s="8" t="s">
        <v>218</v>
      </c>
      <c r="N50" s="8" t="s">
        <v>220</v>
      </c>
      <c r="O50" s="8">
        <v>4.4000000000000004</v>
      </c>
      <c r="P50" s="28">
        <f>(Tabela1[Avaliação Média (0-5)] * 20) / Tabela1[Preço Médio da Diária (R$)] * 10</f>
        <v>2.1463414634146343</v>
      </c>
      <c r="Q50" s="28" t="str">
        <f t="shared" si="9"/>
        <v>Regular</v>
      </c>
      <c r="R50" s="8">
        <v>3</v>
      </c>
      <c r="S50" s="31" t="s">
        <v>1030</v>
      </c>
      <c r="T50" s="8">
        <f t="shared" si="10"/>
        <v>1</v>
      </c>
      <c r="U50" s="31">
        <f t="shared" si="11"/>
        <v>1</v>
      </c>
      <c r="V50" s="31">
        <f>IF(OR(ISNUMBER(FIND("café da manhã",S50)), ISNUMBER(FIND("café da manha",O50)), ISNUMBER(FIND("cafe da manha",S50)), ISNUMBER(FIND("café da amanhã incluído",S50))), 1, 0)</f>
        <v>1</v>
      </c>
      <c r="W50" s="31">
        <f>IF(OR(ISNUMBER(FIND("estacionamento",S50)),ISNUMBER(FIND("estaciona",S50))), 1, 0)</f>
        <v>0</v>
      </c>
      <c r="X50" s="8">
        <f>IF(OR(ISNUMBER(FIND("serviço de quarto",S50)), ISNUMBER(FIND("servico de quarto",O50)), ISNUMBER(FIND("room service",S50))), 1, 0)</f>
        <v>0</v>
      </c>
      <c r="Y50" s="8">
        <f>IF(OR(ISNUMBER(FIND("restaurante",S50)), ISNUMBER(FIND("bar",S50))), 1, 0)</f>
        <v>1</v>
      </c>
      <c r="Z50" s="8">
        <f>IF(OR(ISNUMBER(FIND("academia",S50)), ISNUMBER(FIND("fitness",S50)), ISNUMBER(FIND("ginásio",S50))), 1, 0)</f>
        <v>1</v>
      </c>
      <c r="AA50" s="8">
        <f t="shared" si="13"/>
        <v>0</v>
      </c>
      <c r="AB50" s="8">
        <f t="shared" si="14"/>
        <v>0</v>
      </c>
      <c r="AC50" s="8">
        <f t="shared" si="12"/>
        <v>0</v>
      </c>
      <c r="AD50" s="31" t="s">
        <v>296</v>
      </c>
      <c r="AE50" s="8" t="s">
        <v>419</v>
      </c>
      <c r="AF50" s="8" t="s">
        <v>488</v>
      </c>
      <c r="AG50" s="8" t="s">
        <v>525</v>
      </c>
      <c r="AH50" s="1" t="s">
        <v>528</v>
      </c>
      <c r="AI50" s="13" t="s">
        <v>531</v>
      </c>
    </row>
    <row r="51" spans="1:35" ht="18" thickBot="1" x14ac:dyDescent="0.4">
      <c r="A51" s="38" t="s">
        <v>67</v>
      </c>
      <c r="B51" s="39" t="s">
        <v>572</v>
      </c>
      <c r="C51" s="39" t="s">
        <v>197</v>
      </c>
      <c r="D51" s="43" t="s">
        <v>763</v>
      </c>
      <c r="E51" s="50" t="s">
        <v>764</v>
      </c>
      <c r="F51" s="42">
        <v>1.6</v>
      </c>
      <c r="G51" s="42" t="str">
        <f t="shared" si="6"/>
        <v>1-2km</v>
      </c>
      <c r="H51" s="43" t="s">
        <v>211</v>
      </c>
      <c r="I51" s="43">
        <v>38</v>
      </c>
      <c r="J51" s="44">
        <v>246</v>
      </c>
      <c r="K51" s="44" t="str">
        <f t="shared" si="7"/>
        <v>Médio</v>
      </c>
      <c r="L51" s="43" t="s">
        <v>215</v>
      </c>
      <c r="M51" s="43" t="s">
        <v>218</v>
      </c>
      <c r="N51" s="43" t="s">
        <v>220</v>
      </c>
      <c r="O51" s="43">
        <v>3.8</v>
      </c>
      <c r="P51" s="45">
        <f>(Tabela1[Avaliação Média (0-5)] * 20) / Tabela1[Preço Médio da Diária (R$)] * 10</f>
        <v>3.0894308943089435</v>
      </c>
      <c r="Q51" s="42" t="str">
        <f t="shared" si="9"/>
        <v>Regular</v>
      </c>
      <c r="R51" s="43">
        <v>3</v>
      </c>
      <c r="S51" s="46" t="s">
        <v>970</v>
      </c>
      <c r="T51" s="43">
        <f t="shared" si="10"/>
        <v>1</v>
      </c>
      <c r="U51" s="46">
        <f t="shared" si="11"/>
        <v>1</v>
      </c>
      <c r="V51" s="46">
        <f>IF(OR(ISNUMBER(FIND("café da manhã",S51)), ISNUMBER(FIND("café da manha",O51)), ISNUMBER(FIND("cafe da manha",S51)), ISNUMBER(FIND("café da amanhã incluído",S51))), 1, 0)</f>
        <v>1</v>
      </c>
      <c r="W51" s="46">
        <f>IF(OR(ISNUMBER(FIND("estacionamento",S51)),ISNUMBER(FIND("estaciona",S51))), 1, 0)</f>
        <v>0</v>
      </c>
      <c r="X51" s="43">
        <f>IF(OR(ISNUMBER(FIND("serviço de quarto",S51)), ISNUMBER(FIND("servico de quarto",O51)), ISNUMBER(FIND("room service",S51))), 1, 0)</f>
        <v>0</v>
      </c>
      <c r="Y51" s="43">
        <f>IF(OR(ISNUMBER(FIND("restaurante",S51)), ISNUMBER(FIND("bar",S51))), 1, 0)</f>
        <v>0</v>
      </c>
      <c r="Z51" s="43">
        <f>IF(OR(ISNUMBER(FIND("academia",S51)), ISNUMBER(FIND("fitness",S51)), ISNUMBER(FIND("ginásio",S51))), 1, 0)</f>
        <v>0</v>
      </c>
      <c r="AA51" s="43">
        <f>IF(ISNUMBER(FIND("piscina",S51)), 1, 0)</f>
        <v>0</v>
      </c>
      <c r="AB51" s="43">
        <f>IF(OR(ISNUMBER(FIND("acessível",S51)),ISNUMBER(FIND("deficiência",S51)), ISNUMBER(FIND("cadeirante",S51)), ISNUMBER(FIND("PCD",S51))), 1, 0)</f>
        <v>0</v>
      </c>
      <c r="AC51" s="43">
        <f t="shared" si="12"/>
        <v>1</v>
      </c>
      <c r="AD51" s="46" t="s">
        <v>297</v>
      </c>
      <c r="AE51" s="43" t="s">
        <v>420</v>
      </c>
      <c r="AF51" s="43" t="s">
        <v>488</v>
      </c>
      <c r="AG51" s="43" t="s">
        <v>1064</v>
      </c>
      <c r="AH51" s="39" t="s">
        <v>527</v>
      </c>
      <c r="AI51" s="48" t="s">
        <v>529</v>
      </c>
    </row>
    <row r="52" spans="1:35" ht="18" thickBot="1" x14ac:dyDescent="0.4">
      <c r="A52" s="38" t="s">
        <v>68</v>
      </c>
      <c r="B52" s="39" t="s">
        <v>573</v>
      </c>
      <c r="C52" s="39" t="s">
        <v>198</v>
      </c>
      <c r="D52" s="43" t="s">
        <v>765</v>
      </c>
      <c r="E52" s="50" t="s">
        <v>766</v>
      </c>
      <c r="F52" s="42">
        <v>2.9</v>
      </c>
      <c r="G52" s="42" t="str">
        <f t="shared" si="6"/>
        <v>2-3km</v>
      </c>
      <c r="H52" s="43" t="s">
        <v>211</v>
      </c>
      <c r="I52" s="43">
        <v>48</v>
      </c>
      <c r="J52" s="44">
        <v>232</v>
      </c>
      <c r="K52" s="44" t="str">
        <f t="shared" si="7"/>
        <v>Médio</v>
      </c>
      <c r="L52" s="43" t="s">
        <v>215</v>
      </c>
      <c r="M52" s="43" t="s">
        <v>217</v>
      </c>
      <c r="N52" s="43" t="s">
        <v>220</v>
      </c>
      <c r="O52" s="43">
        <v>3.8</v>
      </c>
      <c r="P52" s="45">
        <f>(Tabela1[Avaliação Média (0-5)] * 20) / Tabela1[Preço Médio da Diária (R$)] * 10</f>
        <v>3.2758620689655169</v>
      </c>
      <c r="Q52" s="42" t="str">
        <f t="shared" si="9"/>
        <v>Regular</v>
      </c>
      <c r="R52" s="43">
        <v>3</v>
      </c>
      <c r="S52" s="46" t="s">
        <v>1045</v>
      </c>
      <c r="T52" s="43">
        <f t="shared" si="10"/>
        <v>1</v>
      </c>
      <c r="U52" s="46">
        <f t="shared" si="11"/>
        <v>1</v>
      </c>
      <c r="V52" s="46">
        <f>IF(OR(ISNUMBER(FIND("café da manhã",S52)), ISNUMBER(FIND("café da manha",O52)), ISNUMBER(FIND("cafe da manha",S52)), ISNUMBER(FIND("café da amanhã incluído",S52))), 1, 0)</f>
        <v>1</v>
      </c>
      <c r="W52" s="46">
        <f>IF(OR(ISNUMBER(FIND("estacionamento",S52)),ISNUMBER(FIND("estaciona",S52))), 1, 0)</f>
        <v>1</v>
      </c>
      <c r="X52" s="43">
        <f>IF(OR(ISNUMBER(FIND("serviço de quarto",S52)), ISNUMBER(FIND("servico de quarto",O52)), ISNUMBER(FIND("room service",S52))), 1, 0)</f>
        <v>0</v>
      </c>
      <c r="Y52" s="43">
        <f>IF(OR(ISNUMBER(FIND("restaurante",S52)), ISNUMBER(FIND("bar",S52))), 1, 0)</f>
        <v>0</v>
      </c>
      <c r="Z52" s="43">
        <f>IF(OR(ISNUMBER(FIND("academia",S52)), ISNUMBER(FIND("fitness",S52)), ISNUMBER(FIND("ginásio",S52))), 1, 0)</f>
        <v>0</v>
      </c>
      <c r="AA52" s="43">
        <f>IF(ISNUMBER(FIND("piscina",S52)), 1, 0)</f>
        <v>0</v>
      </c>
      <c r="AB52" s="43">
        <f>IF(OR(ISNUMBER(FIND("acessível",S52)),ISNUMBER(FIND("deficiência",S52)), ISNUMBER(FIND("cadeirante",S52)), ISNUMBER(FIND("PCD",S52))), 1, 0)</f>
        <v>1</v>
      </c>
      <c r="AC52" s="43">
        <f t="shared" si="12"/>
        <v>1</v>
      </c>
      <c r="AD52" s="46" t="s">
        <v>298</v>
      </c>
      <c r="AE52" s="43" t="s">
        <v>421</v>
      </c>
      <c r="AF52" s="43" t="s">
        <v>488</v>
      </c>
      <c r="AG52" s="43" t="s">
        <v>1064</v>
      </c>
      <c r="AH52" s="39" t="s">
        <v>527</v>
      </c>
      <c r="AI52" s="48" t="s">
        <v>529</v>
      </c>
    </row>
    <row r="53" spans="1:35" ht="18" thickBot="1" x14ac:dyDescent="0.4">
      <c r="A53" s="38" t="s">
        <v>69</v>
      </c>
      <c r="B53" s="39" t="s">
        <v>574</v>
      </c>
      <c r="C53" s="39" t="s">
        <v>180</v>
      </c>
      <c r="D53" s="43" t="s">
        <v>767</v>
      </c>
      <c r="E53" s="50" t="s">
        <v>768</v>
      </c>
      <c r="F53" s="42">
        <v>2.4</v>
      </c>
      <c r="G53" s="42" t="str">
        <f t="shared" si="6"/>
        <v>2-3km</v>
      </c>
      <c r="H53" s="43" t="s">
        <v>211</v>
      </c>
      <c r="I53" s="43">
        <v>10</v>
      </c>
      <c r="J53" s="44">
        <v>483</v>
      </c>
      <c r="K53" s="44" t="str">
        <f t="shared" si="7"/>
        <v>Alto</v>
      </c>
      <c r="L53" s="43" t="s">
        <v>215</v>
      </c>
      <c r="M53" s="43" t="s">
        <v>218</v>
      </c>
      <c r="N53" s="43" t="s">
        <v>225</v>
      </c>
      <c r="O53" s="43">
        <v>4.8</v>
      </c>
      <c r="P53" s="45">
        <f>(Tabela1[Avaliação Média (0-5)] * 20) / Tabela1[Preço Médio da Diária (R$)] * 10</f>
        <v>1.9875776397515525</v>
      </c>
      <c r="Q53" s="42" t="str">
        <f t="shared" si="9"/>
        <v>Baixo</v>
      </c>
      <c r="R53" s="43">
        <v>3</v>
      </c>
      <c r="S53" s="46" t="s">
        <v>971</v>
      </c>
      <c r="T53" s="43">
        <f t="shared" si="10"/>
        <v>1</v>
      </c>
      <c r="U53" s="46">
        <f t="shared" si="11"/>
        <v>1</v>
      </c>
      <c r="V53" s="46">
        <f>IF(OR(ISNUMBER(FIND("café da manhã",S53)), ISNUMBER(FIND("café da manha",O53)), ISNUMBER(FIND("cafe da manha",S53)), ISNUMBER(FIND("café da amanhã incluído",S53))), 1, 0)</f>
        <v>1</v>
      </c>
      <c r="W53" s="46">
        <f t="shared" ref="W53" si="15">IF(OR(ISNUMBER(FIND("estacionamento",S53)),ISNUMBER(FIND("estaciona",S53))), 1, 0)</f>
        <v>1</v>
      </c>
      <c r="X53" s="43">
        <f>IF(OR(ISNUMBER(FIND("serviço de quarto",S53)), ISNUMBER(FIND("servico de quarto",O53)), ISNUMBER(FIND("room service",S53))), 1, 0)</f>
        <v>0</v>
      </c>
      <c r="Y53" s="43">
        <f>IF(OR(ISNUMBER(FIND("restaurante",S53)), ISNUMBER(FIND("bar",S53))), 1, 0)</f>
        <v>0</v>
      </c>
      <c r="Z53" s="43">
        <f>IF(OR(ISNUMBER(FIND("academia",S53)), ISNUMBER(FIND("fitness",S53)), ISNUMBER(FIND("ginásio",S53))), 1, 0)</f>
        <v>0</v>
      </c>
      <c r="AA53" s="43">
        <f>IF(ISNUMBER(FIND("piscina",S53)), 1, 0)</f>
        <v>0</v>
      </c>
      <c r="AB53" s="43">
        <f>IF(OR(ISNUMBER(FIND("acessível",S53)),ISNUMBER(FIND("deficiência",S53)), ISNUMBER(FIND("cadeirante",S53)), ISNUMBER(FIND("PCD",S53))), 1, 0)</f>
        <v>0</v>
      </c>
      <c r="AC53" s="43">
        <f t="shared" si="12"/>
        <v>1</v>
      </c>
      <c r="AD53" s="46" t="s">
        <v>299</v>
      </c>
      <c r="AE53" s="43" t="s">
        <v>422</v>
      </c>
      <c r="AF53" s="43" t="s">
        <v>490</v>
      </c>
      <c r="AG53" s="43" t="s">
        <v>1064</v>
      </c>
      <c r="AH53" s="39" t="s">
        <v>527</v>
      </c>
      <c r="AI53" s="48" t="s">
        <v>529</v>
      </c>
    </row>
    <row r="54" spans="1:35" ht="15" hidden="1" thickBot="1" x14ac:dyDescent="0.4">
      <c r="A54" s="12" t="s">
        <v>70</v>
      </c>
      <c r="B54" s="1" t="s">
        <v>575</v>
      </c>
      <c r="C54" s="1" t="s">
        <v>199</v>
      </c>
      <c r="D54" s="2" t="s">
        <v>769</v>
      </c>
      <c r="E54" s="4" t="s">
        <v>770</v>
      </c>
      <c r="F54" s="6">
        <v>2</v>
      </c>
      <c r="G54" s="6" t="str">
        <f t="shared" si="6"/>
        <v>2-3km</v>
      </c>
      <c r="H54" s="8" t="s">
        <v>211</v>
      </c>
      <c r="I54" s="8">
        <v>45</v>
      </c>
      <c r="J54" s="9">
        <v>490</v>
      </c>
      <c r="K54" s="9" t="str">
        <f t="shared" si="7"/>
        <v>Alto</v>
      </c>
      <c r="L54" s="8" t="s">
        <v>215</v>
      </c>
      <c r="M54" s="8" t="s">
        <v>218</v>
      </c>
      <c r="N54" s="8" t="s">
        <v>220</v>
      </c>
      <c r="O54" s="8">
        <v>4.5</v>
      </c>
      <c r="P54" s="28">
        <f>(Tabela1[Avaliação Média (0-5)] * 20) / Tabela1[Preço Médio da Diária (R$)] * 10</f>
        <v>1.8367346938775511</v>
      </c>
      <c r="Q54" s="28" t="str">
        <f t="shared" si="9"/>
        <v>Baixo</v>
      </c>
      <c r="R54" s="8">
        <v>3</v>
      </c>
      <c r="S54" s="31" t="s">
        <v>1031</v>
      </c>
      <c r="T54" s="8">
        <f t="shared" si="10"/>
        <v>1</v>
      </c>
      <c r="U54" s="31">
        <f t="shared" si="11"/>
        <v>1</v>
      </c>
      <c r="V54" s="31">
        <f>IF(OR(ISNUMBER(FIND("café da manhã",S54)), ISNUMBER(FIND("café da manha",O54)), ISNUMBER(FIND("cafe da manha",S54)), ISNUMBER(FIND("café da amanhã incluído",S54))), 1, 0)</f>
        <v>1</v>
      </c>
      <c r="W54" s="31">
        <f>IF(OR(ISNUMBER(FIND("estacionamento",S54)),ISNUMBER(FIND("estaciona",S54))), 1, 0)</f>
        <v>0</v>
      </c>
      <c r="X54" s="8">
        <f>IF(OR(ISNUMBER(FIND("serviço de quarto",S54)), ISNUMBER(FIND("servico de quarto",O54)), ISNUMBER(FIND("room service",S54))), 1, 0)</f>
        <v>0</v>
      </c>
      <c r="Y54" s="8">
        <f>IF(OR(ISNUMBER(FIND("restaurante",S54)), ISNUMBER(FIND("bar",S54))), 1, 0)</f>
        <v>1</v>
      </c>
      <c r="Z54" s="8">
        <f>IF(OR(ISNUMBER(FIND("academia",S54)), ISNUMBER(FIND("fitness",S54)), ISNUMBER(FIND("ginásio",S54))), 1, 0)</f>
        <v>1</v>
      </c>
      <c r="AA54" s="8">
        <f t="shared" si="13"/>
        <v>0</v>
      </c>
      <c r="AB54" s="8">
        <f t="shared" si="14"/>
        <v>0</v>
      </c>
      <c r="AC54" s="8">
        <f t="shared" si="12"/>
        <v>0</v>
      </c>
      <c r="AD54" s="31" t="s">
        <v>300</v>
      </c>
      <c r="AE54" s="8" t="s">
        <v>422</v>
      </c>
      <c r="AF54" s="8" t="s">
        <v>490</v>
      </c>
      <c r="AG54" s="8" t="s">
        <v>525</v>
      </c>
      <c r="AH54" s="1" t="s">
        <v>527</v>
      </c>
      <c r="AI54" s="13" t="s">
        <v>529</v>
      </c>
    </row>
    <row r="55" spans="1:35" ht="18" thickBot="1" x14ac:dyDescent="0.4">
      <c r="A55" s="38" t="s">
        <v>71</v>
      </c>
      <c r="B55" s="39" t="s">
        <v>576</v>
      </c>
      <c r="C55" s="39" t="s">
        <v>189</v>
      </c>
      <c r="D55" s="43" t="s">
        <v>771</v>
      </c>
      <c r="E55" s="50" t="s">
        <v>772</v>
      </c>
      <c r="F55" s="42">
        <v>3.2</v>
      </c>
      <c r="G55" s="42" t="str">
        <f t="shared" si="6"/>
        <v>2-3km</v>
      </c>
      <c r="H55" s="43" t="s">
        <v>211</v>
      </c>
      <c r="I55" s="43">
        <v>17</v>
      </c>
      <c r="J55" s="44">
        <v>242</v>
      </c>
      <c r="K55" s="44" t="str">
        <f t="shared" si="7"/>
        <v>Médio</v>
      </c>
      <c r="L55" s="43" t="s">
        <v>215</v>
      </c>
      <c r="M55" s="43" t="s">
        <v>218</v>
      </c>
      <c r="N55" s="43" t="s">
        <v>220</v>
      </c>
      <c r="O55" s="43">
        <v>4</v>
      </c>
      <c r="P55" s="45">
        <f>(Tabela1[Avaliação Média (0-5)] * 20) / Tabela1[Preço Médio da Diária (R$)] * 10</f>
        <v>3.3057851239669422</v>
      </c>
      <c r="Q55" s="42" t="str">
        <f t="shared" si="9"/>
        <v>Regular</v>
      </c>
      <c r="R55" s="43">
        <v>3</v>
      </c>
      <c r="S55" s="46" t="s">
        <v>1022</v>
      </c>
      <c r="T55" s="43">
        <f t="shared" si="10"/>
        <v>1</v>
      </c>
      <c r="U55" s="46">
        <f t="shared" si="11"/>
        <v>1</v>
      </c>
      <c r="V55" s="46">
        <f>IF(OR(ISNUMBER(FIND("café da manhã",S55)), ISNUMBER(FIND("café da manha",O55)), ISNUMBER(FIND("cafe da manha",S55)), ISNUMBER(FIND("café da amanhã incluído",S55))), 1, 0)</f>
        <v>1</v>
      </c>
      <c r="W55" s="46">
        <f>IF(OR(ISNUMBER(FIND("estacionamento",S55)),ISNUMBER(FIND("estaciona",S55))), 1, 0)</f>
        <v>1</v>
      </c>
      <c r="X55" s="43">
        <f>IF(OR(ISNUMBER(FIND("serviço de quarto",S55)), ISNUMBER(FIND("servico de quarto",O55)), ISNUMBER(FIND("room service",S55))), 1, 0)</f>
        <v>0</v>
      </c>
      <c r="Y55" s="43">
        <f>IF(OR(ISNUMBER(FIND("restaurante",S55)), ISNUMBER(FIND("bar",S55))), 1, 0)</f>
        <v>1</v>
      </c>
      <c r="Z55" s="43">
        <f>IF(OR(ISNUMBER(FIND("academia",S55)), ISNUMBER(FIND("fitness",S55)), ISNUMBER(FIND("ginásio",S55))), 1, 0)</f>
        <v>0</v>
      </c>
      <c r="AA55" s="43">
        <f>IF(ISNUMBER(FIND("piscina",S55)), 1, 0)</f>
        <v>0</v>
      </c>
      <c r="AB55" s="43">
        <f>IF(OR(ISNUMBER(FIND("acessível",S55)),ISNUMBER(FIND("deficiência",S55)), ISNUMBER(FIND("cadeirante",S55)), ISNUMBER(FIND("PCD",S55))), 1, 0)</f>
        <v>0</v>
      </c>
      <c r="AC55" s="43">
        <f t="shared" si="12"/>
        <v>1</v>
      </c>
      <c r="AD55" s="46" t="s">
        <v>301</v>
      </c>
      <c r="AE55" s="43" t="s">
        <v>422</v>
      </c>
      <c r="AF55" s="43" t="s">
        <v>491</v>
      </c>
      <c r="AG55" s="43" t="s">
        <v>1064</v>
      </c>
      <c r="AH55" s="39" t="s">
        <v>527</v>
      </c>
      <c r="AI55" s="48" t="s">
        <v>529</v>
      </c>
    </row>
    <row r="56" spans="1:35" ht="17.5" customHeight="1" thickBot="1" x14ac:dyDescent="0.4">
      <c r="A56" s="38" t="s">
        <v>72</v>
      </c>
      <c r="B56" s="39" t="s">
        <v>577</v>
      </c>
      <c r="C56" s="39" t="s">
        <v>199</v>
      </c>
      <c r="D56" s="43" t="s">
        <v>773</v>
      </c>
      <c r="E56" s="50" t="s">
        <v>774</v>
      </c>
      <c r="F56" s="42">
        <v>2.2000000000000002</v>
      </c>
      <c r="G56" s="42" t="str">
        <f t="shared" si="6"/>
        <v>2-3km</v>
      </c>
      <c r="H56" s="43" t="s">
        <v>211</v>
      </c>
      <c r="I56" s="43">
        <v>25</v>
      </c>
      <c r="J56" s="44">
        <v>207</v>
      </c>
      <c r="K56" s="44" t="str">
        <f t="shared" si="7"/>
        <v>Médio</v>
      </c>
      <c r="L56" s="43" t="s">
        <v>215</v>
      </c>
      <c r="M56" s="43" t="s">
        <v>218</v>
      </c>
      <c r="N56" s="43" t="s">
        <v>220</v>
      </c>
      <c r="O56" s="43">
        <v>4.5999999999999996</v>
      </c>
      <c r="P56" s="45">
        <f>(Tabela1[Avaliação Média (0-5)] * 20) / Tabela1[Preço Médio da Diária (R$)] * 10</f>
        <v>4.4444444444444446</v>
      </c>
      <c r="Q56" s="42" t="str">
        <f t="shared" si="9"/>
        <v>Bom</v>
      </c>
      <c r="R56" s="43">
        <v>3</v>
      </c>
      <c r="S56" s="49" t="s">
        <v>1005</v>
      </c>
      <c r="T56" s="43">
        <f t="shared" si="10"/>
        <v>1</v>
      </c>
      <c r="U56" s="46">
        <f t="shared" si="11"/>
        <v>1</v>
      </c>
      <c r="V56" s="46">
        <f>IF(OR(ISNUMBER(FIND("café da manhã",S56)), ISNUMBER(FIND("café da manha",O56)), ISNUMBER(FIND("cafe da manha",S56)), ISNUMBER(FIND("café da amanhã incluído",S56))), 1, 0)</f>
        <v>1</v>
      </c>
      <c r="W56" s="46">
        <f>IF(OR(ISNUMBER(FIND("estacionamento",S56)),ISNUMBER(FIND("estaciona",S56))), 1, 0)</f>
        <v>0</v>
      </c>
      <c r="X56" s="43">
        <f>IF(OR(ISNUMBER(FIND("serviço de quarto",S56)), ISNUMBER(FIND("servico de quarto",O56)), ISNUMBER(FIND("room service",S56))), 1, 0)</f>
        <v>1</v>
      </c>
      <c r="Y56" s="43">
        <f t="shared" ref="Y56:Y60" si="16">IF(OR(ISNUMBER(FIND("restaurante",S56)), ISNUMBER(FIND("bar",S56))), 1, 0)</f>
        <v>1</v>
      </c>
      <c r="Z56" s="43">
        <f>IF(OR(ISNUMBER(FIND("academia",S56)), ISNUMBER(FIND("fitness",S56)), ISNUMBER(FIND("ginásio",S56))), 1, 0)</f>
        <v>0</v>
      </c>
      <c r="AA56" s="43">
        <f>IF(ISNUMBER(FIND("piscina",S56)), 1, 0)</f>
        <v>0</v>
      </c>
      <c r="AB56" s="43">
        <f>IF(OR(ISNUMBER(FIND("acessível",S56)),ISNUMBER(FIND("deficiência",S56)), ISNUMBER(FIND("cadeirante",S56)), ISNUMBER(FIND("PCD",S56))), 1, 0)</f>
        <v>0</v>
      </c>
      <c r="AC56" s="43">
        <f t="shared" si="12"/>
        <v>1</v>
      </c>
      <c r="AD56" s="46" t="s">
        <v>302</v>
      </c>
      <c r="AE56" s="43" t="s">
        <v>423</v>
      </c>
      <c r="AF56" s="43" t="s">
        <v>491</v>
      </c>
      <c r="AG56" s="43" t="s">
        <v>1064</v>
      </c>
      <c r="AH56" s="39" t="s">
        <v>528</v>
      </c>
      <c r="AI56" s="48" t="s">
        <v>534</v>
      </c>
    </row>
    <row r="57" spans="1:35" ht="21" customHeight="1" thickBot="1" x14ac:dyDescent="0.4">
      <c r="A57" s="38" t="s">
        <v>73</v>
      </c>
      <c r="B57" s="39" t="s">
        <v>578</v>
      </c>
      <c r="C57" s="39" t="s">
        <v>199</v>
      </c>
      <c r="D57" s="40" t="s">
        <v>775</v>
      </c>
      <c r="E57" s="50" t="s">
        <v>776</v>
      </c>
      <c r="F57" s="42">
        <v>2.2999999999999998</v>
      </c>
      <c r="G57" s="42" t="str">
        <f t="shared" si="6"/>
        <v>2-3km</v>
      </c>
      <c r="H57" s="43" t="s">
        <v>211</v>
      </c>
      <c r="I57" s="43">
        <v>25</v>
      </c>
      <c r="J57" s="44">
        <v>295</v>
      </c>
      <c r="K57" s="44" t="str">
        <f t="shared" si="7"/>
        <v>Médio</v>
      </c>
      <c r="L57" s="43" t="s">
        <v>215</v>
      </c>
      <c r="M57" s="43" t="s">
        <v>218</v>
      </c>
      <c r="N57" s="43" t="s">
        <v>220</v>
      </c>
      <c r="O57" s="43">
        <v>4.5</v>
      </c>
      <c r="P57" s="45">
        <f>(Tabela1[Avaliação Média (0-5)] * 20) / Tabela1[Preço Médio da Diária (R$)] * 10</f>
        <v>3.050847457627119</v>
      </c>
      <c r="Q57" s="42" t="str">
        <f t="shared" si="9"/>
        <v>Regular</v>
      </c>
      <c r="R57" s="43">
        <v>3</v>
      </c>
      <c r="S57" s="49" t="s">
        <v>1019</v>
      </c>
      <c r="T57" s="43">
        <f t="shared" si="10"/>
        <v>1</v>
      </c>
      <c r="U57" s="46">
        <f t="shared" si="11"/>
        <v>1</v>
      </c>
      <c r="V57" s="46">
        <f>IF(OR(ISNUMBER(FIND("café da manhã",S57)), ISNUMBER(FIND("café da manha",O57)), ISNUMBER(FIND("cafe da manha",S57)), ISNUMBER(FIND("café da amanhã incluído",S57))), 1, 0)</f>
        <v>0</v>
      </c>
      <c r="W57" s="46">
        <f>IF(OR(ISNUMBER(FIND("estacionamento",S57)),ISNUMBER(FIND("estaciona",S57))), 1, 0)</f>
        <v>0</v>
      </c>
      <c r="X57" s="43">
        <f>IF(OR(ISNUMBER(FIND("serviço de quarto",S57)), ISNUMBER(FIND("servico de quarto",O57)), ISNUMBER(FIND("room service",S57))), 1, 0)</f>
        <v>0</v>
      </c>
      <c r="Y57" s="43">
        <f t="shared" si="16"/>
        <v>1</v>
      </c>
      <c r="Z57" s="43">
        <f>IF(OR(ISNUMBER(FIND("academia",S57)), ISNUMBER(FIND("fitness",S57)), ISNUMBER(FIND("ginásio",S57))), 1, 0)</f>
        <v>0</v>
      </c>
      <c r="AA57" s="43">
        <f>IF(ISNUMBER(FIND("piscina",S57)), 1, 0)</f>
        <v>0</v>
      </c>
      <c r="AB57" s="43">
        <f>IF(OR(ISNUMBER(FIND("acessível",S57)),ISNUMBER(FIND("deficiência",S57)), ISNUMBER(FIND("cadeirante",S57)), ISNUMBER(FIND("PCD",S57))), 1, 0)</f>
        <v>0</v>
      </c>
      <c r="AC57" s="43">
        <f t="shared" si="12"/>
        <v>1</v>
      </c>
      <c r="AD57" s="46" t="s">
        <v>303</v>
      </c>
      <c r="AE57" s="43" t="s">
        <v>424</v>
      </c>
      <c r="AF57" s="43" t="s">
        <v>491</v>
      </c>
      <c r="AG57" s="43" t="s">
        <v>1064</v>
      </c>
      <c r="AH57" s="39" t="s">
        <v>527</v>
      </c>
      <c r="AI57" s="48" t="s">
        <v>529</v>
      </c>
    </row>
    <row r="58" spans="1:35" ht="17" customHeight="1" thickBot="1" x14ac:dyDescent="0.4">
      <c r="A58" s="38" t="s">
        <v>74</v>
      </c>
      <c r="B58" s="39" t="s">
        <v>579</v>
      </c>
      <c r="C58" s="39" t="s">
        <v>199</v>
      </c>
      <c r="D58" s="43" t="s">
        <v>777</v>
      </c>
      <c r="E58" s="50" t="s">
        <v>778</v>
      </c>
      <c r="F58" s="42">
        <v>2.6</v>
      </c>
      <c r="G58" s="42" t="str">
        <f t="shared" si="6"/>
        <v>2-3km</v>
      </c>
      <c r="H58" s="43" t="s">
        <v>211</v>
      </c>
      <c r="I58" s="43">
        <v>53</v>
      </c>
      <c r="J58" s="44">
        <v>506</v>
      </c>
      <c r="K58" s="44" t="str">
        <f t="shared" si="7"/>
        <v>Alto</v>
      </c>
      <c r="L58" s="43" t="s">
        <v>215</v>
      </c>
      <c r="M58" s="43" t="s">
        <v>218</v>
      </c>
      <c r="N58" s="43" t="s">
        <v>220</v>
      </c>
      <c r="O58" s="43">
        <v>4.3</v>
      </c>
      <c r="P58" s="45">
        <f>(Tabela1[Avaliação Média (0-5)] * 20) / Tabela1[Preço Médio da Diária (R$)] * 10</f>
        <v>1.6996047430830039</v>
      </c>
      <c r="Q58" s="42" t="str">
        <f t="shared" si="9"/>
        <v>Baixo</v>
      </c>
      <c r="R58" s="43">
        <v>3</v>
      </c>
      <c r="S58" s="49" t="s">
        <v>982</v>
      </c>
      <c r="T58" s="43">
        <f t="shared" si="10"/>
        <v>1</v>
      </c>
      <c r="U58" s="46">
        <f t="shared" si="11"/>
        <v>1</v>
      </c>
      <c r="V58" s="46">
        <f>IF(OR(ISNUMBER(FIND("café da manhã",S58)), ISNUMBER(FIND("café da manha",O58)), ISNUMBER(FIND("cafe da manha",S58)), ISNUMBER(FIND("café da amanhã incluído",S58))), 1, 0)</f>
        <v>1</v>
      </c>
      <c r="W58" s="46">
        <f>IF(OR(ISNUMBER(FIND("estacionamento",S58)),ISNUMBER(FIND("estaciona",S58))), 1, 0)</f>
        <v>1</v>
      </c>
      <c r="X58" s="43">
        <f>IF(OR(ISNUMBER(FIND("serviço de quarto",S58)), ISNUMBER(FIND("servico de quarto",O58)), ISNUMBER(FIND("room service",S58))), 1, 0)</f>
        <v>0</v>
      </c>
      <c r="Y58" s="43">
        <f t="shared" si="16"/>
        <v>1</v>
      </c>
      <c r="Z58" s="43">
        <f>IF(OR(ISNUMBER(FIND("academia",S58)), ISNUMBER(FIND("fitness",S58)), ISNUMBER(FIND("ginásio",S58))), 1, 0)</f>
        <v>0</v>
      </c>
      <c r="AA58" s="43">
        <f>IF(ISNUMBER(FIND("piscina",S58)), 1, 0)</f>
        <v>0</v>
      </c>
      <c r="AB58" s="43">
        <f t="shared" si="14"/>
        <v>1</v>
      </c>
      <c r="AC58" s="43">
        <f t="shared" si="12"/>
        <v>1</v>
      </c>
      <c r="AD58" s="46" t="s">
        <v>304</v>
      </c>
      <c r="AE58" s="43" t="s">
        <v>425</v>
      </c>
      <c r="AF58" s="43" t="s">
        <v>492</v>
      </c>
      <c r="AG58" s="43" t="s">
        <v>1064</v>
      </c>
      <c r="AH58" s="39" t="s">
        <v>528</v>
      </c>
      <c r="AI58" s="48" t="s">
        <v>535</v>
      </c>
    </row>
    <row r="59" spans="1:35" ht="23" customHeight="1" thickBot="1" x14ac:dyDescent="0.4">
      <c r="A59" s="38" t="s">
        <v>75</v>
      </c>
      <c r="B59" s="39" t="s">
        <v>580</v>
      </c>
      <c r="C59" s="39" t="s">
        <v>189</v>
      </c>
      <c r="D59" s="43" t="s">
        <v>779</v>
      </c>
      <c r="E59" s="50" t="s">
        <v>780</v>
      </c>
      <c r="F59" s="42">
        <v>3.2</v>
      </c>
      <c r="G59" s="42" t="str">
        <f t="shared" si="6"/>
        <v>2-3km</v>
      </c>
      <c r="H59" s="43" t="s">
        <v>211</v>
      </c>
      <c r="I59" s="43">
        <v>76</v>
      </c>
      <c r="J59" s="44">
        <v>301</v>
      </c>
      <c r="K59" s="44" t="str">
        <f t="shared" si="7"/>
        <v>Médio</v>
      </c>
      <c r="L59" s="43" t="s">
        <v>215</v>
      </c>
      <c r="M59" s="43" t="s">
        <v>218</v>
      </c>
      <c r="N59" s="43" t="s">
        <v>217</v>
      </c>
      <c r="O59" s="43">
        <v>4.2</v>
      </c>
      <c r="P59" s="45">
        <f>(Tabela1[Avaliação Média (0-5)] * 20) / Tabela1[Preço Médio da Diária (R$)] * 10</f>
        <v>2.7906976744186047</v>
      </c>
      <c r="Q59" s="42" t="str">
        <f t="shared" si="9"/>
        <v>Regular</v>
      </c>
      <c r="R59" s="43">
        <v>3</v>
      </c>
      <c r="S59" s="49" t="s">
        <v>983</v>
      </c>
      <c r="T59" s="43">
        <f t="shared" si="10"/>
        <v>1</v>
      </c>
      <c r="U59" s="46">
        <f t="shared" si="11"/>
        <v>1</v>
      </c>
      <c r="V59" s="46">
        <f>IF(OR(ISNUMBER(FIND("café da manhã",S59)), ISNUMBER(FIND("café da manha",O59)), ISNUMBER(FIND("cafe da manha",S59)), ISNUMBER(FIND("café da amanhã incluído",S59))), 1, 0)</f>
        <v>1</v>
      </c>
      <c r="W59" s="46">
        <f>IF(OR(ISNUMBER(FIND("estacionamento",S59)),ISNUMBER(FIND("estaciona",S59))), 1, 0)</f>
        <v>1</v>
      </c>
      <c r="X59" s="43">
        <f>IF(OR(ISNUMBER(FIND("serviço de quarto",S59)), ISNUMBER(FIND("servico de quarto",O59)), ISNUMBER(FIND("room service",S59))), 1, 0)</f>
        <v>0</v>
      </c>
      <c r="Y59" s="43">
        <f t="shared" si="16"/>
        <v>1</v>
      </c>
      <c r="Z59" s="43">
        <f>IF(OR(ISNUMBER(FIND("academia",S59)), ISNUMBER(FIND("fitness",S59)), ISNUMBER(FIND("ginásio",S59))), 1, 0)</f>
        <v>0</v>
      </c>
      <c r="AA59" s="43">
        <f>IF(ISNUMBER(FIND("piscina",S59)), 1, 0)</f>
        <v>0</v>
      </c>
      <c r="AB59" s="43">
        <f t="shared" si="14"/>
        <v>1</v>
      </c>
      <c r="AC59" s="43">
        <f t="shared" si="12"/>
        <v>1</v>
      </c>
      <c r="AD59" s="46"/>
      <c r="AE59" s="43" t="s">
        <v>425</v>
      </c>
      <c r="AF59" s="43" t="s">
        <v>493</v>
      </c>
      <c r="AG59" s="43" t="s">
        <v>1064</v>
      </c>
      <c r="AH59" s="39" t="s">
        <v>527</v>
      </c>
      <c r="AI59" s="48" t="s">
        <v>529</v>
      </c>
    </row>
    <row r="60" spans="1:35" ht="18" customHeight="1" thickBot="1" x14ac:dyDescent="0.4">
      <c r="A60" s="38" t="s">
        <v>76</v>
      </c>
      <c r="B60" s="39" t="s">
        <v>581</v>
      </c>
      <c r="C60" s="39" t="s">
        <v>187</v>
      </c>
      <c r="D60" s="43" t="s">
        <v>781</v>
      </c>
      <c r="E60" s="50" t="s">
        <v>782</v>
      </c>
      <c r="F60" s="42">
        <v>1.8</v>
      </c>
      <c r="G60" s="42" t="str">
        <f t="shared" si="6"/>
        <v>1-2km</v>
      </c>
      <c r="H60" s="43" t="s">
        <v>211</v>
      </c>
      <c r="I60" s="43">
        <v>26</v>
      </c>
      <c r="J60" s="44">
        <v>176</v>
      </c>
      <c r="K60" s="44" t="str">
        <f t="shared" si="7"/>
        <v>Econômico</v>
      </c>
      <c r="L60" s="43" t="s">
        <v>215</v>
      </c>
      <c r="M60" s="43" t="s">
        <v>222</v>
      </c>
      <c r="N60" s="43" t="s">
        <v>220</v>
      </c>
      <c r="O60" s="43">
        <v>4.4000000000000004</v>
      </c>
      <c r="P60" s="45">
        <f>(Tabela1[Avaliação Média (0-5)] * 20) / Tabela1[Preço Médio da Diária (R$)] * 10</f>
        <v>5</v>
      </c>
      <c r="Q60" s="42" t="str">
        <f t="shared" si="9"/>
        <v>Bom</v>
      </c>
      <c r="R60" s="43">
        <v>3</v>
      </c>
      <c r="S60" s="49" t="s">
        <v>1006</v>
      </c>
      <c r="T60" s="43">
        <f t="shared" si="10"/>
        <v>1</v>
      </c>
      <c r="U60" s="46">
        <f t="shared" si="11"/>
        <v>1</v>
      </c>
      <c r="V60" s="46">
        <f>IF(OR(ISNUMBER(FIND("café da manhã",S60)), ISNUMBER(FIND("café da manha",O60)), ISNUMBER(FIND("cafe da manha",S60)), ISNUMBER(FIND("café da amanhã incluído",S60))), 1, 0)</f>
        <v>1</v>
      </c>
      <c r="W60" s="46">
        <f>IF(OR(ISNUMBER(FIND("estacionamento",S60)),ISNUMBER(FIND("estaciona",S60))), 1, 0)</f>
        <v>1</v>
      </c>
      <c r="X60" s="43">
        <f>IF(OR(ISNUMBER(FIND("serviço de quarto",S60)), ISNUMBER(FIND("servico de quarto",O60)), ISNUMBER(FIND("room service",S60))), 1, 0)</f>
        <v>1</v>
      </c>
      <c r="Y60" s="43">
        <f t="shared" si="16"/>
        <v>1</v>
      </c>
      <c r="Z60" s="43">
        <f>IF(OR(ISNUMBER(FIND("academia",S60)), ISNUMBER(FIND("fitness",S60)), ISNUMBER(FIND("ginásio",S60))), 1, 0)</f>
        <v>0</v>
      </c>
      <c r="AA60" s="43">
        <f>IF(ISNUMBER(FIND("piscina",S60)), 1, 0)</f>
        <v>0</v>
      </c>
      <c r="AB60" s="43">
        <f>IF(OR(ISNUMBER(FIND("acessível",S60)),ISNUMBER(FIND("deficiência",S60)), ISNUMBER(FIND("cadeirante",S60)), ISNUMBER(FIND("PCD",S60))), 1, 0)</f>
        <v>0</v>
      </c>
      <c r="AC60" s="43">
        <f t="shared" si="12"/>
        <v>1</v>
      </c>
      <c r="AD60" s="46" t="s">
        <v>305</v>
      </c>
      <c r="AE60" s="43" t="s">
        <v>425</v>
      </c>
      <c r="AF60" s="43" t="s">
        <v>493</v>
      </c>
      <c r="AG60" s="43" t="s">
        <v>1064</v>
      </c>
      <c r="AH60" s="39" t="s">
        <v>527</v>
      </c>
      <c r="AI60" s="48" t="s">
        <v>529</v>
      </c>
    </row>
    <row r="61" spans="1:35" ht="18" thickBot="1" x14ac:dyDescent="0.4">
      <c r="A61" s="38" t="s">
        <v>77</v>
      </c>
      <c r="B61" s="39" t="s">
        <v>582</v>
      </c>
      <c r="C61" s="39" t="s">
        <v>179</v>
      </c>
      <c r="D61" s="43" t="s">
        <v>783</v>
      </c>
      <c r="E61" s="50" t="s">
        <v>784</v>
      </c>
      <c r="F61" s="42">
        <v>0.35</v>
      </c>
      <c r="G61" s="42" t="str">
        <f t="shared" si="6"/>
        <v>Até 1km</v>
      </c>
      <c r="H61" s="43" t="s">
        <v>211</v>
      </c>
      <c r="I61" s="43"/>
      <c r="J61" s="44">
        <v>219</v>
      </c>
      <c r="K61" s="44" t="str">
        <f t="shared" si="7"/>
        <v>Médio</v>
      </c>
      <c r="L61" s="43" t="s">
        <v>215</v>
      </c>
      <c r="M61" s="43" t="s">
        <v>218</v>
      </c>
      <c r="N61" s="43" t="s">
        <v>215</v>
      </c>
      <c r="O61" s="43">
        <v>4.9000000000000004</v>
      </c>
      <c r="P61" s="45">
        <f>(Tabela1[Avaliação Média (0-5)] * 20) / Tabela1[Preço Médio da Diária (R$)] * 10</f>
        <v>4.474885844748858</v>
      </c>
      <c r="Q61" s="42" t="str">
        <f t="shared" si="9"/>
        <v>Bom</v>
      </c>
      <c r="R61" s="43">
        <v>3</v>
      </c>
      <c r="S61" s="46" t="s">
        <v>972</v>
      </c>
      <c r="T61" s="43">
        <f t="shared" si="10"/>
        <v>1</v>
      </c>
      <c r="U61" s="46">
        <f t="shared" si="11"/>
        <v>1</v>
      </c>
      <c r="V61" s="46">
        <f>IF(OR(ISNUMBER(FIND("café da manhã",S61)), ISNUMBER(FIND("café da manha",O61)), ISNUMBER(FIND("cafe da manha",S61)), ISNUMBER(FIND("café da amanhã incluído",S61))), 1, 0)</f>
        <v>1</v>
      </c>
      <c r="W61" s="46">
        <f>IF(OR(ISNUMBER(FIND("estacionamento",S61)),ISNUMBER(FIND("estaciona",S61))), 1, 0)</f>
        <v>0</v>
      </c>
      <c r="X61" s="43">
        <f>IF(OR(ISNUMBER(FIND("serviço de quarto",S61)), ISNUMBER(FIND("servico de quarto",O61)), ISNUMBER(FIND("room service",S61))), 1, 0)</f>
        <v>0</v>
      </c>
      <c r="Y61" s="43">
        <f>IF(OR(ISNUMBER(FIND("restaurante",S61)), ISNUMBER(FIND("bar",S61))), 1, 0)</f>
        <v>0</v>
      </c>
      <c r="Z61" s="43">
        <f>IF(OR(ISNUMBER(FIND("academia",S61)), ISNUMBER(FIND("fitness",S61)), ISNUMBER(FIND("ginásio",S61))), 1, 0)</f>
        <v>0</v>
      </c>
      <c r="AA61" s="43">
        <f>IF(ISNUMBER(FIND("piscina",S61)), 1, 0)</f>
        <v>0</v>
      </c>
      <c r="AB61" s="43">
        <f>IF(OR(ISNUMBER(FIND("acessível",S61)),ISNUMBER(FIND("deficiência",S61)), ISNUMBER(FIND("cadeirante",S61)), ISNUMBER(FIND("PCD",S61))), 1, 0)</f>
        <v>0</v>
      </c>
      <c r="AC61" s="43">
        <f t="shared" si="12"/>
        <v>1</v>
      </c>
      <c r="AD61" s="46" t="s">
        <v>306</v>
      </c>
      <c r="AE61" s="43" t="s">
        <v>426</v>
      </c>
      <c r="AF61" s="43" t="s">
        <v>494</v>
      </c>
      <c r="AG61" s="43" t="s">
        <v>1064</v>
      </c>
      <c r="AH61" s="39" t="s">
        <v>527</v>
      </c>
      <c r="AI61" s="48" t="s">
        <v>529</v>
      </c>
    </row>
    <row r="62" spans="1:35" ht="18" thickBot="1" x14ac:dyDescent="0.4">
      <c r="A62" s="38" t="s">
        <v>78</v>
      </c>
      <c r="B62" s="39" t="s">
        <v>583</v>
      </c>
      <c r="C62" s="39" t="s">
        <v>192</v>
      </c>
      <c r="D62" s="43" t="s">
        <v>785</v>
      </c>
      <c r="E62" s="50" t="s">
        <v>786</v>
      </c>
      <c r="F62" s="42">
        <v>1.8</v>
      </c>
      <c r="G62" s="42" t="str">
        <f t="shared" si="6"/>
        <v>1-2km</v>
      </c>
      <c r="H62" s="43" t="s">
        <v>211</v>
      </c>
      <c r="I62" s="43">
        <v>26</v>
      </c>
      <c r="J62" s="44">
        <v>234</v>
      </c>
      <c r="K62" s="44" t="str">
        <f t="shared" si="7"/>
        <v>Médio</v>
      </c>
      <c r="L62" s="43" t="s">
        <v>215</v>
      </c>
      <c r="M62" s="43" t="s">
        <v>218</v>
      </c>
      <c r="N62" s="43" t="s">
        <v>220</v>
      </c>
      <c r="O62" s="43">
        <v>4.2</v>
      </c>
      <c r="P62" s="45">
        <f>(Tabela1[Avaliação Média (0-5)] * 20) / Tabela1[Preço Médio da Diária (R$)] * 10</f>
        <v>3.5897435897435899</v>
      </c>
      <c r="Q62" s="42" t="str">
        <f t="shared" si="9"/>
        <v>Regular</v>
      </c>
      <c r="R62" s="43">
        <v>3</v>
      </c>
      <c r="S62" s="46" t="s">
        <v>973</v>
      </c>
      <c r="T62" s="43">
        <f t="shared" si="10"/>
        <v>1</v>
      </c>
      <c r="U62" s="46">
        <f t="shared" si="11"/>
        <v>1</v>
      </c>
      <c r="V62" s="46">
        <f>IF(OR(ISNUMBER(FIND("café da manhã",S62)), ISNUMBER(FIND("café da manha",O62)), ISNUMBER(FIND("cafe da manha",S62)), ISNUMBER(FIND("café da amanhã incluído",S62))), 1, 0)</f>
        <v>1</v>
      </c>
      <c r="W62" s="46">
        <f>IF(OR(ISNUMBER(FIND("estacionamento",S62)),ISNUMBER(FIND("estaciona",S62))), 1, 0)</f>
        <v>0</v>
      </c>
      <c r="X62" s="43">
        <f>IF(OR(ISNUMBER(FIND("serviço de quarto",S62)), ISNUMBER(FIND("servico de quarto",O62)), ISNUMBER(FIND("room service",S62))), 1, 0)</f>
        <v>0</v>
      </c>
      <c r="Y62" s="43">
        <f>IF(OR(ISNUMBER(FIND("restaurante",S62)), ISNUMBER(FIND("bar",S62))), 1, 0)</f>
        <v>0</v>
      </c>
      <c r="Z62" s="43">
        <f>IF(OR(ISNUMBER(FIND("academia",S62)), ISNUMBER(FIND("fitness",S62)), ISNUMBER(FIND("ginásio",S62))), 1, 0)</f>
        <v>0</v>
      </c>
      <c r="AA62" s="43">
        <f>IF(ISNUMBER(FIND("piscina",S62)), 1, 0)</f>
        <v>0</v>
      </c>
      <c r="AB62" s="43">
        <f>IF(OR(ISNUMBER(FIND("acessível",S62)),ISNUMBER(FIND("deficiência",S62)), ISNUMBER(FIND("cadeirante",S62)), ISNUMBER(FIND("PCD",S62))), 1, 0)</f>
        <v>0</v>
      </c>
      <c r="AC62" s="43">
        <f t="shared" si="12"/>
        <v>1</v>
      </c>
      <c r="AD62" s="46" t="s">
        <v>307</v>
      </c>
      <c r="AE62" s="43" t="s">
        <v>427</v>
      </c>
      <c r="AF62" s="43" t="s">
        <v>494</v>
      </c>
      <c r="AG62" s="43" t="s">
        <v>1064</v>
      </c>
      <c r="AH62" s="39" t="s">
        <v>528</v>
      </c>
      <c r="AI62" s="48" t="s">
        <v>933</v>
      </c>
    </row>
    <row r="63" spans="1:35" ht="12" customHeight="1" thickBot="1" x14ac:dyDescent="0.4">
      <c r="A63" s="38" t="s">
        <v>79</v>
      </c>
      <c r="B63" s="39" t="s">
        <v>584</v>
      </c>
      <c r="C63" s="39" t="s">
        <v>183</v>
      </c>
      <c r="D63" s="43" t="s">
        <v>787</v>
      </c>
      <c r="E63" s="50" t="s">
        <v>788</v>
      </c>
      <c r="F63" s="42">
        <v>2.4</v>
      </c>
      <c r="G63" s="42" t="str">
        <f t="shared" si="6"/>
        <v>2-3km</v>
      </c>
      <c r="H63" s="43" t="s">
        <v>211</v>
      </c>
      <c r="I63" s="43">
        <v>179</v>
      </c>
      <c r="J63" s="44">
        <v>331</v>
      </c>
      <c r="K63" s="44" t="str">
        <f t="shared" si="7"/>
        <v>Médio</v>
      </c>
      <c r="L63" s="43" t="s">
        <v>215</v>
      </c>
      <c r="M63" s="43" t="s">
        <v>218</v>
      </c>
      <c r="N63" s="43" t="s">
        <v>220</v>
      </c>
      <c r="O63" s="43">
        <v>4.3</v>
      </c>
      <c r="P63" s="45">
        <f>(Tabela1[Avaliação Média (0-5)] * 20) / Tabela1[Preço Médio da Diária (R$)] * 10</f>
        <v>2.5981873111782479</v>
      </c>
      <c r="Q63" s="42" t="str">
        <f t="shared" si="9"/>
        <v>Regular</v>
      </c>
      <c r="R63" s="43">
        <v>3</v>
      </c>
      <c r="S63" s="46" t="s">
        <v>1046</v>
      </c>
      <c r="T63" s="43">
        <f t="shared" si="10"/>
        <v>1</v>
      </c>
      <c r="U63" s="46">
        <f t="shared" si="11"/>
        <v>1</v>
      </c>
      <c r="V63" s="46">
        <f>IF(OR(ISNUMBER(FIND("café da manhã",S63)), ISNUMBER(FIND("café da manha",O63)), ISNUMBER(FIND("cafe da manha",S63)), ISNUMBER(FIND("café da amanhã incluído",S63))), 1, 0)</f>
        <v>1</v>
      </c>
      <c r="W63" s="46">
        <f>IF(OR(ISNUMBER(FIND("estacionamento",S63)),ISNUMBER(FIND("estaciona",S63))), 1, 0)</f>
        <v>0</v>
      </c>
      <c r="X63" s="43">
        <f>IF(OR(ISNUMBER(FIND("serviço de quarto",S63)), ISNUMBER(FIND("servico de quarto",O63)), ISNUMBER(FIND("room service",S63))), 1, 0)</f>
        <v>0</v>
      </c>
      <c r="Y63" s="43">
        <f>IF(OR(ISNUMBER(FIND("restaurante",S63)), ISNUMBER(FIND("bar",S63))), 1, 0)</f>
        <v>1</v>
      </c>
      <c r="Z63" s="43">
        <f>IF(OR(ISNUMBER(FIND("academia",S63)), ISNUMBER(FIND("fitness",S63)), ISNUMBER(FIND("ginásio",S63))), 1, 0)</f>
        <v>0</v>
      </c>
      <c r="AA63" s="43">
        <f>IF(ISNUMBER(FIND("piscina",S63)), 1, 0)</f>
        <v>0</v>
      </c>
      <c r="AB63" s="43">
        <f>IF(OR(ISNUMBER(FIND("acessível",S63)),ISNUMBER(FIND("deficiência",S63)), ISNUMBER(FIND("cadeirante",S63)), ISNUMBER(FIND("PCD",S63))), 1, 0)</f>
        <v>1</v>
      </c>
      <c r="AC63" s="43">
        <f t="shared" si="12"/>
        <v>1</v>
      </c>
      <c r="AD63" s="46" t="s">
        <v>308</v>
      </c>
      <c r="AE63" s="43" t="s">
        <v>428</v>
      </c>
      <c r="AF63" s="43" t="s">
        <v>495</v>
      </c>
      <c r="AG63" s="43" t="s">
        <v>1067</v>
      </c>
      <c r="AH63" s="39" t="s">
        <v>934</v>
      </c>
      <c r="AI63" s="48" t="s">
        <v>935</v>
      </c>
    </row>
    <row r="64" spans="1:35" ht="18" thickBot="1" x14ac:dyDescent="0.4">
      <c r="A64" s="38" t="s">
        <v>80</v>
      </c>
      <c r="B64" s="39" t="s">
        <v>585</v>
      </c>
      <c r="C64" s="39" t="s">
        <v>184</v>
      </c>
      <c r="D64" s="43" t="s">
        <v>789</v>
      </c>
      <c r="E64" s="50" t="s">
        <v>790</v>
      </c>
      <c r="F64" s="42">
        <v>1</v>
      </c>
      <c r="G64" s="42" t="str">
        <f t="shared" si="6"/>
        <v>1-2km</v>
      </c>
      <c r="H64" s="43" t="s">
        <v>211</v>
      </c>
      <c r="I64" s="43">
        <v>13</v>
      </c>
      <c r="J64" s="44">
        <v>110</v>
      </c>
      <c r="K64" s="44" t="str">
        <f t="shared" si="7"/>
        <v>Econômico</v>
      </c>
      <c r="L64" s="43" t="s">
        <v>215</v>
      </c>
      <c r="M64" s="43" t="s">
        <v>223</v>
      </c>
      <c r="N64" s="43" t="s">
        <v>220</v>
      </c>
      <c r="O64" s="43">
        <v>3.6</v>
      </c>
      <c r="P64" s="45">
        <f>(Tabela1[Avaliação Média (0-5)] * 20) / Tabela1[Preço Médio da Diária (R$)] * 10</f>
        <v>6.545454545454545</v>
      </c>
      <c r="Q64" s="42" t="str">
        <f t="shared" si="9"/>
        <v>Excelente</v>
      </c>
      <c r="R64" s="43">
        <v>3</v>
      </c>
      <c r="S64" s="46" t="s">
        <v>974</v>
      </c>
      <c r="T64" s="43">
        <f t="shared" si="10"/>
        <v>1</v>
      </c>
      <c r="U64" s="46">
        <f t="shared" si="11"/>
        <v>0</v>
      </c>
      <c r="V64" s="46">
        <f>IF(OR(ISNUMBER(FIND("café da manhã",S64)), ISNUMBER(FIND("café da manha",O64)), ISNUMBER(FIND("cafe da manha",S64)), ISNUMBER(FIND("café da amanhã incluído",S64))), 1, 0)</f>
        <v>1</v>
      </c>
      <c r="W64" s="46">
        <f>IF(OR(ISNUMBER(FIND("estacionamento",S64)),ISNUMBER(FIND("estaciona",S64))), 1, 0)</f>
        <v>0</v>
      </c>
      <c r="X64" s="43">
        <f>IF(OR(ISNUMBER(FIND("serviço de quarto",S64)), ISNUMBER(FIND("servico de quarto",O64)), ISNUMBER(FIND("room service",S64))), 1, 0)</f>
        <v>0</v>
      </c>
      <c r="Y64" s="43">
        <f>IF(OR(ISNUMBER(FIND("restaurante",S64)), ISNUMBER(FIND("bar",S64))), 1, 0)</f>
        <v>0</v>
      </c>
      <c r="Z64" s="43">
        <f>IF(OR(ISNUMBER(FIND("academia",S64)), ISNUMBER(FIND("fitness",S64)), ISNUMBER(FIND("ginásio",S64))), 1, 0)</f>
        <v>0</v>
      </c>
      <c r="AA64" s="43">
        <f>IF(ISNUMBER(FIND("piscina",S64)), 1, 0)</f>
        <v>0</v>
      </c>
      <c r="AB64" s="43">
        <f>IF(OR(ISNUMBER(FIND("acessível",S64)),ISNUMBER(FIND("deficiência",S64)), ISNUMBER(FIND("cadeirante",S64)), ISNUMBER(FIND("PCD",S64))), 1, 0)</f>
        <v>0</v>
      </c>
      <c r="AC64" s="43">
        <f t="shared" si="12"/>
        <v>1</v>
      </c>
      <c r="AD64" s="46" t="s">
        <v>309</v>
      </c>
      <c r="AE64" s="43" t="s">
        <v>426</v>
      </c>
      <c r="AF64" s="43" t="s">
        <v>496</v>
      </c>
      <c r="AG64" s="43" t="s">
        <v>1064</v>
      </c>
      <c r="AH64" s="39" t="s">
        <v>527</v>
      </c>
      <c r="AI64" s="48" t="s">
        <v>529</v>
      </c>
    </row>
    <row r="65" spans="1:35" ht="18" thickBot="1" x14ac:dyDescent="0.4">
      <c r="A65" s="38" t="s">
        <v>81</v>
      </c>
      <c r="B65" s="39" t="s">
        <v>586</v>
      </c>
      <c r="C65" s="39" t="s">
        <v>200</v>
      </c>
      <c r="D65" s="43" t="s">
        <v>703</v>
      </c>
      <c r="E65" s="50" t="s">
        <v>791</v>
      </c>
      <c r="F65" s="42">
        <v>1.2</v>
      </c>
      <c r="G65" s="42" t="str">
        <f t="shared" si="6"/>
        <v>1-2km</v>
      </c>
      <c r="H65" s="43" t="s">
        <v>211</v>
      </c>
      <c r="I65" s="43">
        <v>81</v>
      </c>
      <c r="J65" s="44">
        <v>420</v>
      </c>
      <c r="K65" s="44" t="str">
        <f t="shared" si="7"/>
        <v>Alto</v>
      </c>
      <c r="L65" s="43" t="s">
        <v>215</v>
      </c>
      <c r="M65" s="43" t="s">
        <v>218</v>
      </c>
      <c r="N65" s="43" t="s">
        <v>220</v>
      </c>
      <c r="O65" s="43">
        <v>3.9</v>
      </c>
      <c r="P65" s="45">
        <f>(Tabela1[Avaliação Média (0-5)] * 20) / Tabela1[Preço Médio da Diária (R$)] * 10</f>
        <v>1.8571428571428572</v>
      </c>
      <c r="Q65" s="42" t="str">
        <f t="shared" si="9"/>
        <v>Baixo</v>
      </c>
      <c r="R65" s="43">
        <v>3</v>
      </c>
      <c r="S65" s="46" t="s">
        <v>984</v>
      </c>
      <c r="T65" s="43">
        <f t="shared" si="10"/>
        <v>1</v>
      </c>
      <c r="U65" s="46">
        <f t="shared" si="11"/>
        <v>0</v>
      </c>
      <c r="V65" s="46">
        <f>IF(OR(ISNUMBER(FIND("café da manhã",S65)), ISNUMBER(FIND("café da manha",O65)), ISNUMBER(FIND("cafe da manha",S65)), ISNUMBER(FIND("café da amanhã incluído",S65))), 1, 0)</f>
        <v>1</v>
      </c>
      <c r="W65" s="46">
        <f>IF(OR(ISNUMBER(FIND("estacionamento",S65)),ISNUMBER(FIND("estaciona",S65))), 1, 0)</f>
        <v>1</v>
      </c>
      <c r="X65" s="43">
        <f>IF(OR(ISNUMBER(FIND("serviço de quarto",S65)), ISNUMBER(FIND("servico de quarto",O65)), ISNUMBER(FIND("room service",S65))), 1, 0)</f>
        <v>0</v>
      </c>
      <c r="Y65" s="43">
        <f>IF(OR(ISNUMBER(FIND("restaurante",S65)), ISNUMBER(FIND("bar",S65))), 1, 0)</f>
        <v>0</v>
      </c>
      <c r="Z65" s="43">
        <f>IF(OR(ISNUMBER(FIND("academia",S65)), ISNUMBER(FIND("fitness",S65)), ISNUMBER(FIND("ginásio",S65))), 1, 0)</f>
        <v>0</v>
      </c>
      <c r="AA65" s="43">
        <f>IF(ISNUMBER(FIND("piscina",S65)), 1, 0)</f>
        <v>0</v>
      </c>
      <c r="AB65" s="43">
        <f>IF(OR(ISNUMBER(FIND("acessível",S65)),ISNUMBER(FIND("deficiência",S65)), ISNUMBER(FIND("cadeirante",S65)), ISNUMBER(FIND("PCD",S65))), 1, 0)</f>
        <v>0</v>
      </c>
      <c r="AC65" s="43">
        <f t="shared" si="12"/>
        <v>1</v>
      </c>
      <c r="AD65" s="46" t="s">
        <v>310</v>
      </c>
      <c r="AE65" s="43" t="s">
        <v>429</v>
      </c>
      <c r="AF65" s="43" t="s">
        <v>497</v>
      </c>
      <c r="AG65" s="43" t="s">
        <v>1067</v>
      </c>
      <c r="AH65" s="39" t="s">
        <v>528</v>
      </c>
      <c r="AI65" s="48" t="s">
        <v>1069</v>
      </c>
    </row>
    <row r="66" spans="1:35" ht="18" thickBot="1" x14ac:dyDescent="0.4">
      <c r="A66" s="38" t="s">
        <v>82</v>
      </c>
      <c r="B66" s="39" t="s">
        <v>587</v>
      </c>
      <c r="C66" s="39" t="s">
        <v>183</v>
      </c>
      <c r="D66" s="43" t="s">
        <v>792</v>
      </c>
      <c r="E66" s="50" t="s">
        <v>793</v>
      </c>
      <c r="F66" s="42">
        <v>2.2000000000000002</v>
      </c>
      <c r="G66" s="42" t="str">
        <f t="shared" si="6"/>
        <v>2-3km</v>
      </c>
      <c r="H66" s="43" t="s">
        <v>211</v>
      </c>
      <c r="I66" s="43">
        <v>277</v>
      </c>
      <c r="J66" s="44">
        <v>307</v>
      </c>
      <c r="K66" s="44" t="str">
        <f t="shared" si="7"/>
        <v>Médio</v>
      </c>
      <c r="L66" s="43" t="s">
        <v>215</v>
      </c>
      <c r="M66" s="43" t="s">
        <v>218</v>
      </c>
      <c r="N66" s="43" t="s">
        <v>220</v>
      </c>
      <c r="O66" s="43">
        <v>4.4000000000000004</v>
      </c>
      <c r="P66" s="45">
        <f>(Tabela1[Avaliação Média (0-5)] * 20) / Tabela1[Preço Médio da Diária (R$)] * 10</f>
        <v>2.8664495114006519</v>
      </c>
      <c r="Q66" s="42" t="str">
        <f t="shared" ref="Q66:Q97" si="17">IF(P66&lt;=2,"Baixo",IF(P66&lt;=4,"Regular",IF(P66&lt;=6,"Bom","Excelente")))</f>
        <v>Regular</v>
      </c>
      <c r="R66" s="43">
        <v>3</v>
      </c>
      <c r="S66" s="46" t="s">
        <v>1047</v>
      </c>
      <c r="T66" s="43">
        <f t="shared" ref="T66:T97" si="18">IF(OR(ISNUMBER(FIND("Wi-fi",S66)), ISNUMBER(FIND("Wi-Fi",S66)), ISNUMBER(FIND("Wifi",S66))), 1, 0)</f>
        <v>1</v>
      </c>
      <c r="U66" s="46">
        <f t="shared" ref="U66:U97" si="19">IF(OR(ISNUMBER(FIND("Ar condicionado",S66)), ISNUMBER(FIND("Ar-condicionado",S66)), ISNUMBER(FIND("ar cond",S66))), 1, 0)</f>
        <v>0</v>
      </c>
      <c r="V66" s="46">
        <f>IF(OR(ISNUMBER(FIND("café da manhã",S66)), ISNUMBER(FIND("café da manha",O66)), ISNUMBER(FIND("cafe da manha",S66)), ISNUMBER(FIND("café da amanhã incluído",S66))), 1, 0)</f>
        <v>1</v>
      </c>
      <c r="W66" s="46">
        <f>IF(OR(ISNUMBER(FIND("estacionamento",S66)),ISNUMBER(FIND("estaciona",S66))), 1, 0)</f>
        <v>1</v>
      </c>
      <c r="X66" s="43">
        <f>IF(OR(ISNUMBER(FIND("serviço de quarto",S66)), ISNUMBER(FIND("servico de quarto",O66)), ISNUMBER(FIND("room service",S66))), 1, 0)</f>
        <v>0</v>
      </c>
      <c r="Y66" s="43">
        <f>IF(OR(ISNUMBER(FIND("restaurante",S66)), ISNUMBER(FIND("bar",S66))), 1, 0)</f>
        <v>1</v>
      </c>
      <c r="Z66" s="43">
        <f>IF(OR(ISNUMBER(FIND("academia",S66)), ISNUMBER(FIND("fitness",S66)), ISNUMBER(FIND("ginásio",S66))), 1, 0)</f>
        <v>0</v>
      </c>
      <c r="AA66" s="43">
        <f>IF(ISNUMBER(FIND("piscina",S66)), 1, 0)</f>
        <v>0</v>
      </c>
      <c r="AB66" s="43">
        <f>IF(OR(ISNUMBER(FIND("acessível",S66)),ISNUMBER(FIND("deficiência",S66)), ISNUMBER(FIND("cadeirante",S66)), ISNUMBER(FIND("PCD",S66))), 1, 0)</f>
        <v>1</v>
      </c>
      <c r="AC66" s="43">
        <f t="shared" ref="AC66:AC97" si="20">IF(OR(ISNUMBER(FIND("aceita pet",AG66)), ISNUMBER(FIND("permite pet",O66)), ISNUMBER(FIND("animais",AG66)), ISNUMBER(FIND("pet friendly",AG66))), 1, 0)</f>
        <v>1</v>
      </c>
      <c r="AD66" s="46" t="s">
        <v>311</v>
      </c>
      <c r="AE66" s="43" t="s">
        <v>426</v>
      </c>
      <c r="AF66" s="43" t="s">
        <v>488</v>
      </c>
      <c r="AG66" s="43" t="s">
        <v>1067</v>
      </c>
      <c r="AH66" s="39" t="s">
        <v>528</v>
      </c>
      <c r="AI66" s="48" t="s">
        <v>536</v>
      </c>
    </row>
    <row r="67" spans="1:35" ht="15" hidden="1" thickBot="1" x14ac:dyDescent="0.4">
      <c r="A67" s="12" t="s">
        <v>83</v>
      </c>
      <c r="B67" s="1" t="s">
        <v>588</v>
      </c>
      <c r="C67" s="1" t="s">
        <v>183</v>
      </c>
      <c r="D67" s="3" t="s">
        <v>794</v>
      </c>
      <c r="E67" s="4" t="s">
        <v>795</v>
      </c>
      <c r="F67" s="6">
        <v>2.1</v>
      </c>
      <c r="G67" s="6" t="str">
        <f t="shared" ref="G67:G130" si="21">IF(F67&lt;1,"Até 1km",IF(F67&lt;2,"1-2km","2-3km"))</f>
        <v>2-3km</v>
      </c>
      <c r="H67" s="8" t="s">
        <v>211</v>
      </c>
      <c r="I67" s="8">
        <v>210</v>
      </c>
      <c r="J67" s="9">
        <v>399</v>
      </c>
      <c r="K67" s="9" t="str">
        <f t="shared" ref="K67:K130" si="22">IF(J67&lt;200,"Econômico", IF(J67&lt;400,"Médio", "Alto"))</f>
        <v>Médio</v>
      </c>
      <c r="L67" s="8" t="s">
        <v>215</v>
      </c>
      <c r="M67" s="8" t="s">
        <v>220</v>
      </c>
      <c r="N67" s="8" t="s">
        <v>220</v>
      </c>
      <c r="O67" s="8">
        <v>4.5</v>
      </c>
      <c r="P67" s="28">
        <f>(Tabela1[Avaliação Média (0-5)] * 20) / Tabela1[Preço Médio da Diária (R$)] * 10</f>
        <v>2.2556390977443606</v>
      </c>
      <c r="Q67" s="28" t="str">
        <f t="shared" si="17"/>
        <v>Regular</v>
      </c>
      <c r="R67" s="8">
        <v>3</v>
      </c>
      <c r="S67" s="31" t="s">
        <v>1032</v>
      </c>
      <c r="T67" s="8">
        <f t="shared" si="18"/>
        <v>1</v>
      </c>
      <c r="U67" s="31">
        <f t="shared" si="19"/>
        <v>0</v>
      </c>
      <c r="V67" s="31">
        <f>IF(OR(ISNUMBER(FIND("café da manhã",S67)), ISNUMBER(FIND("café da manha",O67)), ISNUMBER(FIND("cafe da manha",S67)), ISNUMBER(FIND("café da amanhã incluído",S67))), 1, 0)</f>
        <v>1</v>
      </c>
      <c r="W67" s="31">
        <f>IF(OR(ISNUMBER(FIND("estacionamento",S67)),ISNUMBER(FIND("estaciona",S67))), 1, 0)</f>
        <v>1</v>
      </c>
      <c r="X67" s="8">
        <f>IF(OR(ISNUMBER(FIND("serviço de quarto",S67)), ISNUMBER(FIND("servico de quarto",O67)), ISNUMBER(FIND("room service",S67))), 1, 0)</f>
        <v>0</v>
      </c>
      <c r="Y67" s="8">
        <f>IF(OR(ISNUMBER(FIND("restaurante",S67)), ISNUMBER(FIND("bar",S67))), 1, 0)</f>
        <v>1</v>
      </c>
      <c r="Z67" s="8">
        <f>IF(OR(ISNUMBER(FIND("academia",S67)), ISNUMBER(FIND("fitness",S67)), ISNUMBER(FIND("ginásio",S67))), 1, 0)</f>
        <v>1</v>
      </c>
      <c r="AA67" s="8">
        <f t="shared" ref="AA67:AA75" si="23">IF(ISNUMBER(FIND("piscina",S67)), 1, 0)</f>
        <v>0</v>
      </c>
      <c r="AB67" s="8">
        <f t="shared" ref="AB67:AB75" si="24">IF(OR(ISNUMBER(FIND("acessível",S67)),ISNUMBER(FIND("deficiência",S67)), ISNUMBER(FIND("cadeirante",S67)), ISNUMBER(FIND("PCD",S67))), 1, 0)</f>
        <v>0</v>
      </c>
      <c r="AC67" s="8">
        <f t="shared" si="20"/>
        <v>0</v>
      </c>
      <c r="AD67" s="31" t="s">
        <v>312</v>
      </c>
      <c r="AE67" s="8" t="s">
        <v>429</v>
      </c>
      <c r="AF67" s="8" t="s">
        <v>488</v>
      </c>
      <c r="AG67" s="8" t="s">
        <v>525</v>
      </c>
      <c r="AH67" s="1" t="s">
        <v>528</v>
      </c>
      <c r="AI67" s="13" t="s">
        <v>537</v>
      </c>
    </row>
    <row r="68" spans="1:35" ht="18" thickBot="1" x14ac:dyDescent="0.4">
      <c r="A68" s="38" t="s">
        <v>84</v>
      </c>
      <c r="B68" s="39" t="s">
        <v>589</v>
      </c>
      <c r="C68" s="39" t="s">
        <v>185</v>
      </c>
      <c r="D68" s="43" t="s">
        <v>796</v>
      </c>
      <c r="E68" s="50" t="s">
        <v>797</v>
      </c>
      <c r="F68" s="42">
        <v>1.6</v>
      </c>
      <c r="G68" s="42" t="str">
        <f t="shared" si="21"/>
        <v>1-2km</v>
      </c>
      <c r="H68" s="43" t="s">
        <v>211</v>
      </c>
      <c r="I68" s="43">
        <v>51</v>
      </c>
      <c r="J68" s="44">
        <v>160</v>
      </c>
      <c r="K68" s="44" t="str">
        <f t="shared" si="22"/>
        <v>Econômico</v>
      </c>
      <c r="L68" s="43" t="s">
        <v>215</v>
      </c>
      <c r="M68" s="43" t="s">
        <v>218</v>
      </c>
      <c r="N68" s="43" t="s">
        <v>220</v>
      </c>
      <c r="O68" s="43">
        <v>4.2</v>
      </c>
      <c r="P68" s="45">
        <f>(Tabela1[Avaliação Média (0-5)] * 20) / Tabela1[Preço Médio da Diária (R$)] * 10</f>
        <v>5.25</v>
      </c>
      <c r="Q68" s="42" t="str">
        <f t="shared" si="17"/>
        <v>Bom</v>
      </c>
      <c r="R68" s="43">
        <v>3</v>
      </c>
      <c r="S68" s="46" t="s">
        <v>970</v>
      </c>
      <c r="T68" s="43">
        <f t="shared" si="18"/>
        <v>1</v>
      </c>
      <c r="U68" s="46">
        <f t="shared" si="19"/>
        <v>1</v>
      </c>
      <c r="V68" s="46">
        <f>IF(OR(ISNUMBER(FIND("café da manhã",S68)), ISNUMBER(FIND("café da manha",O68)), ISNUMBER(FIND("cafe da manha",S68)), ISNUMBER(FIND("café da amanhã incluído",S68))), 1, 0)</f>
        <v>1</v>
      </c>
      <c r="W68" s="46">
        <f>IF(OR(ISNUMBER(FIND("estacionamento",S68)),ISNUMBER(FIND("estaciona",S68))), 1, 0)</f>
        <v>0</v>
      </c>
      <c r="X68" s="43">
        <f>IF(OR(ISNUMBER(FIND("serviço de quarto",S68)), ISNUMBER(FIND("servico de quarto",O68)), ISNUMBER(FIND("room service",S68))), 1, 0)</f>
        <v>0</v>
      </c>
      <c r="Y68" s="43">
        <f>IF(OR(ISNUMBER(FIND("restaurante",S68)), ISNUMBER(FIND("bar",S68))), 1, 0)</f>
        <v>0</v>
      </c>
      <c r="Z68" s="43">
        <f>IF(OR(ISNUMBER(FIND("academia",S68)), ISNUMBER(FIND("fitness",S68)), ISNUMBER(FIND("ginásio",S68))), 1, 0)</f>
        <v>0</v>
      </c>
      <c r="AA68" s="43">
        <f>IF(ISNUMBER(FIND("piscina",S68)), 1, 0)</f>
        <v>0</v>
      </c>
      <c r="AB68" s="43">
        <f>IF(OR(ISNUMBER(FIND("acessível",S68)),ISNUMBER(FIND("deficiência",S68)), ISNUMBER(FIND("cadeirante",S68)), ISNUMBER(FIND("PCD",S68))), 1, 0)</f>
        <v>0</v>
      </c>
      <c r="AC68" s="43">
        <f t="shared" si="20"/>
        <v>1</v>
      </c>
      <c r="AD68" s="46" t="s">
        <v>313</v>
      </c>
      <c r="AE68" s="43" t="s">
        <v>426</v>
      </c>
      <c r="AF68" s="43" t="s">
        <v>488</v>
      </c>
      <c r="AG68" s="43" t="s">
        <v>1064</v>
      </c>
      <c r="AH68" s="39" t="s">
        <v>527</v>
      </c>
      <c r="AI68" s="48" t="s">
        <v>529</v>
      </c>
    </row>
    <row r="69" spans="1:35" ht="18" thickBot="1" x14ac:dyDescent="0.4">
      <c r="A69" s="38" t="s">
        <v>85</v>
      </c>
      <c r="B69" s="39" t="s">
        <v>590</v>
      </c>
      <c r="C69" s="39" t="s">
        <v>184</v>
      </c>
      <c r="D69" s="43" t="s">
        <v>798</v>
      </c>
      <c r="E69" s="50" t="s">
        <v>799</v>
      </c>
      <c r="F69" s="42">
        <v>1.1000000000000001</v>
      </c>
      <c r="G69" s="42" t="str">
        <f t="shared" si="21"/>
        <v>1-2km</v>
      </c>
      <c r="H69" s="43" t="s">
        <v>211</v>
      </c>
      <c r="I69" s="43">
        <v>33</v>
      </c>
      <c r="J69" s="44">
        <v>279</v>
      </c>
      <c r="K69" s="44" t="str">
        <f t="shared" si="22"/>
        <v>Médio</v>
      </c>
      <c r="L69" s="43" t="s">
        <v>215</v>
      </c>
      <c r="M69" s="43" t="s">
        <v>218</v>
      </c>
      <c r="N69" s="43" t="s">
        <v>220</v>
      </c>
      <c r="O69" s="43">
        <v>4.0999999999999996</v>
      </c>
      <c r="P69" s="45">
        <f>(Tabela1[Avaliação Média (0-5)] * 20) / Tabela1[Preço Médio da Diária (R$)] * 10</f>
        <v>2.9390681003584227</v>
      </c>
      <c r="Q69" s="42" t="str">
        <f t="shared" si="17"/>
        <v>Regular</v>
      </c>
      <c r="R69" s="43">
        <v>3</v>
      </c>
      <c r="S69" s="46" t="s">
        <v>1007</v>
      </c>
      <c r="T69" s="43">
        <f t="shared" si="18"/>
        <v>1</v>
      </c>
      <c r="U69" s="46">
        <f t="shared" si="19"/>
        <v>1</v>
      </c>
      <c r="V69" s="46">
        <f>IF(OR(ISNUMBER(FIND("café da manhã",S69)), ISNUMBER(FIND("café da manha",O69)), ISNUMBER(FIND("cafe da manha",S69)), ISNUMBER(FIND("café da amanhã incluído",S69))), 1, 0)</f>
        <v>1</v>
      </c>
      <c r="W69" s="46">
        <f>IF(OR(ISNUMBER(FIND("estacionamento",S69)),ISNUMBER(FIND("estaciona",S69))), 1, 0)</f>
        <v>0</v>
      </c>
      <c r="X69" s="43">
        <f>IF(OR(ISNUMBER(FIND("serviço de quarto",S69)), ISNUMBER(FIND("servico de quarto",O69)), ISNUMBER(FIND("room service",S69))), 1, 0)</f>
        <v>1</v>
      </c>
      <c r="Y69" s="43">
        <f>IF(OR(ISNUMBER(FIND("restaurante",S69)), ISNUMBER(FIND("bar",S69))), 1, 0)</f>
        <v>0</v>
      </c>
      <c r="Z69" s="43">
        <f>IF(OR(ISNUMBER(FIND("academia",S69)), ISNUMBER(FIND("fitness",S69)), ISNUMBER(FIND("ginásio",S69))), 1, 0)</f>
        <v>0</v>
      </c>
      <c r="AA69" s="43">
        <f>IF(ISNUMBER(FIND("piscina",S69)), 1, 0)</f>
        <v>0</v>
      </c>
      <c r="AB69" s="43">
        <f>IF(OR(ISNUMBER(FIND("acessível",S69)),ISNUMBER(FIND("deficiência",S69)), ISNUMBER(FIND("cadeirante",S69)), ISNUMBER(FIND("PCD",S69))), 1, 0)</f>
        <v>0</v>
      </c>
      <c r="AC69" s="43">
        <f t="shared" si="20"/>
        <v>1</v>
      </c>
      <c r="AD69" s="46" t="s">
        <v>314</v>
      </c>
      <c r="AE69" s="43" t="s">
        <v>426</v>
      </c>
      <c r="AF69" s="43" t="s">
        <v>488</v>
      </c>
      <c r="AG69" s="43" t="s">
        <v>1064</v>
      </c>
      <c r="AH69" s="39" t="s">
        <v>527</v>
      </c>
      <c r="AI69" s="48" t="s">
        <v>529</v>
      </c>
    </row>
    <row r="70" spans="1:35" ht="18" thickBot="1" x14ac:dyDescent="0.4">
      <c r="A70" s="38" t="s">
        <v>86</v>
      </c>
      <c r="B70" s="39" t="s">
        <v>591</v>
      </c>
      <c r="C70" s="39" t="s">
        <v>183</v>
      </c>
      <c r="D70" s="43" t="s">
        <v>800</v>
      </c>
      <c r="E70" s="50" t="s">
        <v>704</v>
      </c>
      <c r="F70" s="42">
        <v>1.7</v>
      </c>
      <c r="G70" s="42" t="str">
        <f t="shared" si="21"/>
        <v>1-2km</v>
      </c>
      <c r="H70" s="43" t="s">
        <v>211</v>
      </c>
      <c r="I70" s="43">
        <v>47</v>
      </c>
      <c r="J70" s="44">
        <v>231</v>
      </c>
      <c r="K70" s="44" t="str">
        <f t="shared" si="22"/>
        <v>Médio</v>
      </c>
      <c r="L70" s="43" t="s">
        <v>215</v>
      </c>
      <c r="M70" s="43" t="s">
        <v>218</v>
      </c>
      <c r="N70" s="43" t="s">
        <v>220</v>
      </c>
      <c r="O70" s="43">
        <v>3.8</v>
      </c>
      <c r="P70" s="45">
        <f>(Tabela1[Avaliação Média (0-5)] * 20) / Tabela1[Preço Médio da Diária (R$)] * 10</f>
        <v>3.2900432900432901</v>
      </c>
      <c r="Q70" s="42" t="str">
        <f t="shared" si="17"/>
        <v>Regular</v>
      </c>
      <c r="R70" s="43">
        <v>3</v>
      </c>
      <c r="S70" s="46" t="s">
        <v>975</v>
      </c>
      <c r="T70" s="43">
        <f t="shared" si="18"/>
        <v>1</v>
      </c>
      <c r="U70" s="46">
        <f t="shared" si="19"/>
        <v>1</v>
      </c>
      <c r="V70" s="46">
        <f>IF(OR(ISNUMBER(FIND("café da manhã",S70)), ISNUMBER(FIND("café da manha",O70)), ISNUMBER(FIND("cafe da manha",S70)), ISNUMBER(FIND("café da amanhã incluído",S70))), 1, 0)</f>
        <v>1</v>
      </c>
      <c r="W70" s="46">
        <f>IF(OR(ISNUMBER(FIND("estacionamento",S70)),ISNUMBER(FIND("estaciona",S70))), 1, 0)</f>
        <v>0</v>
      </c>
      <c r="X70" s="43">
        <f>IF(OR(ISNUMBER(FIND("serviço de quarto",S70)), ISNUMBER(FIND("servico de quarto",O70)), ISNUMBER(FIND("room service",S70))), 1, 0)</f>
        <v>0</v>
      </c>
      <c r="Y70" s="43">
        <f>IF(OR(ISNUMBER(FIND("restaurante",S70)), ISNUMBER(FIND("bar",S70))), 1, 0)</f>
        <v>0</v>
      </c>
      <c r="Z70" s="43">
        <f>IF(OR(ISNUMBER(FIND("academia",S70)), ISNUMBER(FIND("fitness",S70)), ISNUMBER(FIND("ginásio",S70))), 1, 0)</f>
        <v>0</v>
      </c>
      <c r="AA70" s="43">
        <f>IF(ISNUMBER(FIND("piscina",S70)), 1, 0)</f>
        <v>0</v>
      </c>
      <c r="AB70" s="43">
        <f>IF(OR(ISNUMBER(FIND("acessível",S70)),ISNUMBER(FIND("deficiência",S70)), ISNUMBER(FIND("cadeirante",S70)), ISNUMBER(FIND("PCD",S70))), 1, 0)</f>
        <v>0</v>
      </c>
      <c r="AC70" s="43">
        <f t="shared" si="20"/>
        <v>1</v>
      </c>
      <c r="AD70" s="46" t="s">
        <v>315</v>
      </c>
      <c r="AE70" s="43" t="s">
        <v>426</v>
      </c>
      <c r="AF70" s="43" t="s">
        <v>488</v>
      </c>
      <c r="AG70" s="43" t="s">
        <v>1064</v>
      </c>
      <c r="AH70" s="39" t="s">
        <v>528</v>
      </c>
      <c r="AI70" s="48" t="s">
        <v>936</v>
      </c>
    </row>
    <row r="71" spans="1:35" ht="18" thickBot="1" x14ac:dyDescent="0.4">
      <c r="A71" s="38" t="s">
        <v>87</v>
      </c>
      <c r="B71" s="39" t="s">
        <v>592</v>
      </c>
      <c r="C71" s="39" t="s">
        <v>184</v>
      </c>
      <c r="D71" s="43" t="s">
        <v>801</v>
      </c>
      <c r="E71" s="50" t="s">
        <v>802</v>
      </c>
      <c r="F71" s="42">
        <v>1.8</v>
      </c>
      <c r="G71" s="42" t="str">
        <f t="shared" si="21"/>
        <v>1-2km</v>
      </c>
      <c r="H71" s="43" t="s">
        <v>211</v>
      </c>
      <c r="I71" s="43">
        <v>261</v>
      </c>
      <c r="J71" s="44">
        <v>396</v>
      </c>
      <c r="K71" s="44" t="str">
        <f t="shared" si="22"/>
        <v>Médio</v>
      </c>
      <c r="L71" s="43" t="s">
        <v>215</v>
      </c>
      <c r="M71" s="43" t="s">
        <v>218</v>
      </c>
      <c r="N71" s="43" t="s">
        <v>220</v>
      </c>
      <c r="O71" s="43">
        <v>4.2</v>
      </c>
      <c r="P71" s="45">
        <f>(Tabela1[Avaliação Média (0-5)] * 20) / Tabela1[Preço Médio da Diária (R$)] * 10</f>
        <v>2.1212121212121211</v>
      </c>
      <c r="Q71" s="42" t="str">
        <f t="shared" si="17"/>
        <v>Regular</v>
      </c>
      <c r="R71" s="43">
        <v>3</v>
      </c>
      <c r="S71" s="46" t="s">
        <v>1023</v>
      </c>
      <c r="T71" s="43">
        <f t="shared" si="18"/>
        <v>1</v>
      </c>
      <c r="U71" s="46">
        <f t="shared" si="19"/>
        <v>1</v>
      </c>
      <c r="V71" s="46">
        <f>IF(OR(ISNUMBER(FIND("café da manhã",S71)), ISNUMBER(FIND("café da manha",O71)), ISNUMBER(FIND("cafe da manha",S71)), ISNUMBER(FIND("café da amanhã incluído",S71))), 1, 0)</f>
        <v>1</v>
      </c>
      <c r="W71" s="46">
        <f>IF(OR(ISNUMBER(FIND("estacionamento",S71)),ISNUMBER(FIND("estaciona",S71))), 1, 0)</f>
        <v>0</v>
      </c>
      <c r="X71" s="43">
        <f>IF(OR(ISNUMBER(FIND("serviço de quarto",S71)), ISNUMBER(FIND("servico de quarto",O71)), ISNUMBER(FIND("room service",S71))), 1, 0)</f>
        <v>0</v>
      </c>
      <c r="Y71" s="43">
        <f>IF(OR(ISNUMBER(FIND("restaurante",S71)), ISNUMBER(FIND("bar",S71))), 1, 0)</f>
        <v>1</v>
      </c>
      <c r="Z71" s="43">
        <f>IF(OR(ISNUMBER(FIND("academia",S71)), ISNUMBER(FIND("fitness",S71)), ISNUMBER(FIND("ginásio",S71))), 1, 0)</f>
        <v>0</v>
      </c>
      <c r="AA71" s="43">
        <f>IF(ISNUMBER(FIND("piscina",S71)), 1, 0)</f>
        <v>0</v>
      </c>
      <c r="AB71" s="43">
        <f>IF(OR(ISNUMBER(FIND("acessível",S71)),ISNUMBER(FIND("deficiência",S71)), ISNUMBER(FIND("cadeirante",S71)), ISNUMBER(FIND("PCD",S71))), 1, 0)</f>
        <v>0</v>
      </c>
      <c r="AC71" s="43">
        <f t="shared" si="20"/>
        <v>1</v>
      </c>
      <c r="AD71" s="46" t="s">
        <v>316</v>
      </c>
      <c r="AE71" s="43" t="s">
        <v>426</v>
      </c>
      <c r="AF71" s="43" t="s">
        <v>488</v>
      </c>
      <c r="AG71" s="43" t="s">
        <v>1064</v>
      </c>
      <c r="AH71" s="39" t="s">
        <v>528</v>
      </c>
      <c r="AI71" s="48" t="s">
        <v>936</v>
      </c>
    </row>
    <row r="72" spans="1:35" ht="18" thickBot="1" x14ac:dyDescent="0.4">
      <c r="A72" s="38" t="s">
        <v>88</v>
      </c>
      <c r="B72" s="39" t="s">
        <v>593</v>
      </c>
      <c r="C72" s="39" t="s">
        <v>200</v>
      </c>
      <c r="D72" s="43" t="s">
        <v>803</v>
      </c>
      <c r="E72" s="50" t="s">
        <v>804</v>
      </c>
      <c r="F72" s="42">
        <v>1.8</v>
      </c>
      <c r="G72" s="42" t="str">
        <f t="shared" si="21"/>
        <v>1-2km</v>
      </c>
      <c r="H72" s="43" t="s">
        <v>211</v>
      </c>
      <c r="I72" s="43">
        <v>27</v>
      </c>
      <c r="J72" s="44">
        <v>327</v>
      </c>
      <c r="K72" s="44" t="str">
        <f t="shared" si="22"/>
        <v>Médio</v>
      </c>
      <c r="L72" s="43" t="s">
        <v>215</v>
      </c>
      <c r="M72" s="43" t="s">
        <v>218</v>
      </c>
      <c r="N72" s="43" t="s">
        <v>220</v>
      </c>
      <c r="O72" s="43">
        <v>4.2</v>
      </c>
      <c r="P72" s="45">
        <f>(Tabela1[Avaliação Média (0-5)] * 20) / Tabela1[Preço Médio da Diária (R$)] * 10</f>
        <v>2.5688073394495414</v>
      </c>
      <c r="Q72" s="42" t="str">
        <f t="shared" si="17"/>
        <v>Regular</v>
      </c>
      <c r="R72" s="43">
        <v>3</v>
      </c>
      <c r="S72" s="46" t="s">
        <v>1048</v>
      </c>
      <c r="T72" s="43">
        <f t="shared" si="18"/>
        <v>1</v>
      </c>
      <c r="U72" s="46">
        <f t="shared" si="19"/>
        <v>1</v>
      </c>
      <c r="V72" s="46">
        <f>IF(OR(ISNUMBER(FIND("café da manhã",S72)), ISNUMBER(FIND("café da manha",O72)), ISNUMBER(FIND("cafe da manha",S72)), ISNUMBER(FIND("café da amanhã incluído",S72))), 1, 0)</f>
        <v>1</v>
      </c>
      <c r="W72" s="46">
        <f>IF(OR(ISNUMBER(FIND("estacionamento",S72)),ISNUMBER(FIND("estaciona",S72))), 1, 0)</f>
        <v>0</v>
      </c>
      <c r="X72" s="43">
        <f>IF(OR(ISNUMBER(FIND("serviço de quarto",S72)), ISNUMBER(FIND("servico de quarto",O72)), ISNUMBER(FIND("room service",S72))), 1, 0)</f>
        <v>1</v>
      </c>
      <c r="Y72" s="43">
        <f>IF(OR(ISNUMBER(FIND("restaurante",S72)), ISNUMBER(FIND("bar",S72))), 1, 0)</f>
        <v>0</v>
      </c>
      <c r="Z72" s="43">
        <f>IF(OR(ISNUMBER(FIND("academia",S72)), ISNUMBER(FIND("fitness",S72)), ISNUMBER(FIND("ginásio",S72))), 1, 0)</f>
        <v>0</v>
      </c>
      <c r="AA72" s="43">
        <f>IF(ISNUMBER(FIND("piscina",S72)), 1, 0)</f>
        <v>0</v>
      </c>
      <c r="AB72" s="43">
        <f>IF(OR(ISNUMBER(FIND("acessível",S72)),ISNUMBER(FIND("deficiência",S72)), ISNUMBER(FIND("cadeirante",S72)), ISNUMBER(FIND("PCD",S72))), 1, 0)</f>
        <v>1</v>
      </c>
      <c r="AC72" s="43">
        <f t="shared" si="20"/>
        <v>1</v>
      </c>
      <c r="AD72" s="46" t="s">
        <v>317</v>
      </c>
      <c r="AE72" s="43" t="s">
        <v>426</v>
      </c>
      <c r="AF72" s="43" t="s">
        <v>488</v>
      </c>
      <c r="AG72" s="43" t="s">
        <v>1064</v>
      </c>
      <c r="AH72" s="39" t="s">
        <v>527</v>
      </c>
      <c r="AI72" s="48" t="s">
        <v>529</v>
      </c>
    </row>
    <row r="73" spans="1:35" ht="18" thickBot="1" x14ac:dyDescent="0.4">
      <c r="A73" s="38" t="s">
        <v>89</v>
      </c>
      <c r="B73" s="39" t="s">
        <v>594</v>
      </c>
      <c r="C73" s="39" t="s">
        <v>184</v>
      </c>
      <c r="D73" s="43" t="s">
        <v>805</v>
      </c>
      <c r="E73" s="50" t="s">
        <v>806</v>
      </c>
      <c r="F73" s="42">
        <v>1.7</v>
      </c>
      <c r="G73" s="42" t="str">
        <f t="shared" si="21"/>
        <v>1-2km</v>
      </c>
      <c r="H73" s="43" t="s">
        <v>211</v>
      </c>
      <c r="I73" s="43">
        <v>130</v>
      </c>
      <c r="J73" s="44">
        <v>325</v>
      </c>
      <c r="K73" s="44" t="str">
        <f t="shared" si="22"/>
        <v>Médio</v>
      </c>
      <c r="L73" s="43" t="s">
        <v>215</v>
      </c>
      <c r="M73" s="43" t="s">
        <v>218</v>
      </c>
      <c r="N73" s="43" t="s">
        <v>220</v>
      </c>
      <c r="O73" s="43">
        <v>4.0999999999999996</v>
      </c>
      <c r="P73" s="45">
        <f>(Tabela1[Avaliação Média (0-5)] * 20) / Tabela1[Preço Médio da Diária (R$)] * 10</f>
        <v>2.523076923076923</v>
      </c>
      <c r="Q73" s="42" t="str">
        <f t="shared" si="17"/>
        <v>Regular</v>
      </c>
      <c r="R73" s="43">
        <v>3</v>
      </c>
      <c r="S73" s="46" t="s">
        <v>1008</v>
      </c>
      <c r="T73" s="43">
        <f t="shared" si="18"/>
        <v>1</v>
      </c>
      <c r="U73" s="46">
        <f t="shared" si="19"/>
        <v>1</v>
      </c>
      <c r="V73" s="46">
        <f>IF(OR(ISNUMBER(FIND("café da manhã",S73)), ISNUMBER(FIND("café da manha",O73)), ISNUMBER(FIND("cafe da manha",S73)), ISNUMBER(FIND("café da amanhã incluído",S73))), 1, 0)</f>
        <v>1</v>
      </c>
      <c r="W73" s="46">
        <f>IF(OR(ISNUMBER(FIND("estacionamento",S73)),ISNUMBER(FIND("estaciona",S73))), 1, 0)</f>
        <v>1</v>
      </c>
      <c r="X73" s="43">
        <f>IF(OR(ISNUMBER(FIND("serviço de quarto",S73)), ISNUMBER(FIND("servico de quarto",O73)), ISNUMBER(FIND("room service",S73))), 1, 0)</f>
        <v>1</v>
      </c>
      <c r="Y73" s="43">
        <f>IF(OR(ISNUMBER(FIND("restaurante",S73)), ISNUMBER(FIND("bar",S73))), 1, 0)</f>
        <v>0</v>
      </c>
      <c r="Z73" s="43">
        <f>IF(OR(ISNUMBER(FIND("academia",S73)), ISNUMBER(FIND("fitness",S73)), ISNUMBER(FIND("ginásio",S73))), 1, 0)</f>
        <v>0</v>
      </c>
      <c r="AA73" s="43">
        <f>IF(ISNUMBER(FIND("piscina",S73)), 1, 0)</f>
        <v>0</v>
      </c>
      <c r="AB73" s="43">
        <f>IF(OR(ISNUMBER(FIND("acessível",S73)),ISNUMBER(FIND("deficiência",S73)), ISNUMBER(FIND("cadeirante",S73)), ISNUMBER(FIND("PCD",S73))), 1, 0)</f>
        <v>0</v>
      </c>
      <c r="AC73" s="43">
        <f t="shared" si="20"/>
        <v>1</v>
      </c>
      <c r="AD73" s="46" t="s">
        <v>318</v>
      </c>
      <c r="AE73" s="43" t="s">
        <v>430</v>
      </c>
      <c r="AF73" s="43" t="s">
        <v>488</v>
      </c>
      <c r="AG73" s="43" t="s">
        <v>1064</v>
      </c>
      <c r="AH73" s="39" t="s">
        <v>528</v>
      </c>
      <c r="AI73" s="48" t="s">
        <v>936</v>
      </c>
    </row>
    <row r="74" spans="1:35" ht="18" thickBot="1" x14ac:dyDescent="0.4">
      <c r="A74" s="38" t="s">
        <v>90</v>
      </c>
      <c r="B74" s="39" t="s">
        <v>595</v>
      </c>
      <c r="C74" s="39" t="s">
        <v>187</v>
      </c>
      <c r="D74" s="43" t="s">
        <v>801</v>
      </c>
      <c r="E74" s="50" t="s">
        <v>807</v>
      </c>
      <c r="F74" s="42">
        <v>1.5</v>
      </c>
      <c r="G74" s="42" t="str">
        <f t="shared" si="21"/>
        <v>1-2km</v>
      </c>
      <c r="H74" s="43" t="s">
        <v>211</v>
      </c>
      <c r="I74" s="43">
        <v>39</v>
      </c>
      <c r="J74" s="44">
        <v>166</v>
      </c>
      <c r="K74" s="44" t="str">
        <f t="shared" si="22"/>
        <v>Econômico</v>
      </c>
      <c r="L74" s="43" t="s">
        <v>215</v>
      </c>
      <c r="M74" s="43" t="s">
        <v>218</v>
      </c>
      <c r="N74" s="43" t="s">
        <v>220</v>
      </c>
      <c r="O74" s="43">
        <v>3.6</v>
      </c>
      <c r="P74" s="45">
        <f>(Tabela1[Avaliação Média (0-5)] * 20) / Tabela1[Preço Médio da Diária (R$)] * 10</f>
        <v>4.3373493975903612</v>
      </c>
      <c r="Q74" s="42" t="str">
        <f t="shared" si="17"/>
        <v>Bom</v>
      </c>
      <c r="R74" s="43">
        <v>3</v>
      </c>
      <c r="S74" s="46" t="s">
        <v>976</v>
      </c>
      <c r="T74" s="43">
        <f t="shared" si="18"/>
        <v>1</v>
      </c>
      <c r="U74" s="46">
        <f t="shared" si="19"/>
        <v>1</v>
      </c>
      <c r="V74" s="46">
        <f>IF(OR(ISNUMBER(FIND("café da manhã",S74)), ISNUMBER(FIND("café da manha",O74)), ISNUMBER(FIND("cafe da manha",S74)), ISNUMBER(FIND("café da amanhã incluído",S74))), 1, 0)</f>
        <v>1</v>
      </c>
      <c r="W74" s="46">
        <f>IF(OR(ISNUMBER(FIND("estacionamento",S74)),ISNUMBER(FIND("estaciona",S74))), 1, 0)</f>
        <v>0</v>
      </c>
      <c r="X74" s="43">
        <f>IF(OR(ISNUMBER(FIND("serviço de quarto",S74)), ISNUMBER(FIND("servico de quarto",O74)), ISNUMBER(FIND("room service",S74))), 1, 0)</f>
        <v>0</v>
      </c>
      <c r="Y74" s="43">
        <f>IF(OR(ISNUMBER(FIND("restaurante",S74)), ISNUMBER(FIND("bar",S74))), 1, 0)</f>
        <v>0</v>
      </c>
      <c r="Z74" s="43">
        <f>IF(OR(ISNUMBER(FIND("academia",S74)), ISNUMBER(FIND("fitness",S74)), ISNUMBER(FIND("ginásio",S74))), 1, 0)</f>
        <v>0</v>
      </c>
      <c r="AA74" s="43">
        <f>IF(ISNUMBER(FIND("piscina",S74)), 1, 0)</f>
        <v>0</v>
      </c>
      <c r="AB74" s="43">
        <f>IF(OR(ISNUMBER(FIND("acessível",S74)),ISNUMBER(FIND("deficiência",S74)), ISNUMBER(FIND("cadeirante",S74)), ISNUMBER(FIND("PCD",S74))), 1, 0)</f>
        <v>0</v>
      </c>
      <c r="AC74" s="43">
        <f t="shared" si="20"/>
        <v>1</v>
      </c>
      <c r="AD74" s="46" t="s">
        <v>319</v>
      </c>
      <c r="AE74" s="43" t="s">
        <v>426</v>
      </c>
      <c r="AF74" s="43" t="s">
        <v>488</v>
      </c>
      <c r="AG74" s="43" t="s">
        <v>1064</v>
      </c>
      <c r="AH74" s="39" t="s">
        <v>527</v>
      </c>
      <c r="AI74" s="48" t="s">
        <v>529</v>
      </c>
    </row>
    <row r="75" spans="1:35" ht="15" hidden="1" thickBot="1" x14ac:dyDescent="0.4">
      <c r="A75" s="12" t="s">
        <v>91</v>
      </c>
      <c r="B75" s="1" t="s">
        <v>596</v>
      </c>
      <c r="C75" s="1" t="s">
        <v>201</v>
      </c>
      <c r="D75" s="3" t="s">
        <v>808</v>
      </c>
      <c r="E75" s="4" t="s">
        <v>809</v>
      </c>
      <c r="F75" s="6">
        <v>1.1000000000000001</v>
      </c>
      <c r="G75" s="6" t="str">
        <f t="shared" si="21"/>
        <v>1-2km</v>
      </c>
      <c r="H75" s="8" t="s">
        <v>211</v>
      </c>
      <c r="I75" s="8">
        <v>55</v>
      </c>
      <c r="J75" s="9">
        <v>184</v>
      </c>
      <c r="K75" s="9" t="str">
        <f t="shared" si="22"/>
        <v>Econômico</v>
      </c>
      <c r="L75" s="8" t="s">
        <v>215</v>
      </c>
      <c r="M75" s="8" t="s">
        <v>218</v>
      </c>
      <c r="N75" s="8" t="s">
        <v>220</v>
      </c>
      <c r="O75" s="8">
        <v>4.2</v>
      </c>
      <c r="P75" s="28">
        <f>(Tabela1[Avaliação Média (0-5)] * 20) / Tabela1[Preço Médio da Diária (R$)] * 10</f>
        <v>4.5652173913043477</v>
      </c>
      <c r="Q75" s="28" t="str">
        <f t="shared" si="17"/>
        <v>Bom</v>
      </c>
      <c r="R75" s="8">
        <v>3</v>
      </c>
      <c r="S75" s="31" t="s">
        <v>1033</v>
      </c>
      <c r="T75" s="8">
        <f t="shared" si="18"/>
        <v>1</v>
      </c>
      <c r="U75" s="31">
        <f t="shared" si="19"/>
        <v>0</v>
      </c>
      <c r="V75" s="31">
        <f>IF(OR(ISNUMBER(FIND("café da manhã",S75)), ISNUMBER(FIND("café da manha",O75)), ISNUMBER(FIND("cafe da manha",S75)), ISNUMBER(FIND("café da amanhã incluído",S75))), 1, 0)</f>
        <v>1</v>
      </c>
      <c r="W75" s="31">
        <f>IF(OR(ISNUMBER(FIND("estacionamento",S75)),ISNUMBER(FIND("estaciona",S75))), 1, 0)</f>
        <v>1</v>
      </c>
      <c r="X75" s="8">
        <f>IF(OR(ISNUMBER(FIND("serviço de quarto",S75)), ISNUMBER(FIND("servico de quarto",O75)), ISNUMBER(FIND("room service",S75))), 1, 0)</f>
        <v>1</v>
      </c>
      <c r="Y75" s="8">
        <f>IF(OR(ISNUMBER(FIND("restaurante",S75)), ISNUMBER(FIND("bar",S75))), 1, 0)</f>
        <v>0</v>
      </c>
      <c r="Z75" s="8">
        <f>IF(OR(ISNUMBER(FIND("academia",S75)), ISNUMBER(FIND("fitness",S75)), ISNUMBER(FIND("ginásio",S75))), 1, 0)</f>
        <v>1</v>
      </c>
      <c r="AA75" s="8">
        <f t="shared" si="23"/>
        <v>0</v>
      </c>
      <c r="AB75" s="8">
        <f t="shared" si="24"/>
        <v>0</v>
      </c>
      <c r="AC75" s="8">
        <f t="shared" si="20"/>
        <v>1</v>
      </c>
      <c r="AD75" s="31" t="s">
        <v>320</v>
      </c>
      <c r="AE75" s="8" t="s">
        <v>430</v>
      </c>
      <c r="AF75" s="8" t="s">
        <v>497</v>
      </c>
      <c r="AG75" s="8" t="s">
        <v>524</v>
      </c>
      <c r="AH75" s="1" t="s">
        <v>527</v>
      </c>
      <c r="AI75" s="13" t="s">
        <v>529</v>
      </c>
    </row>
    <row r="76" spans="1:35" ht="18" thickBot="1" x14ac:dyDescent="0.4">
      <c r="A76" s="38" t="s">
        <v>92</v>
      </c>
      <c r="B76" s="39" t="s">
        <v>597</v>
      </c>
      <c r="C76" s="39" t="s">
        <v>183</v>
      </c>
      <c r="D76" s="40" t="s">
        <v>810</v>
      </c>
      <c r="E76" s="50" t="s">
        <v>811</v>
      </c>
      <c r="F76" s="42">
        <v>1.2</v>
      </c>
      <c r="G76" s="42" t="str">
        <f t="shared" si="21"/>
        <v>1-2km</v>
      </c>
      <c r="H76" s="43" t="s">
        <v>211</v>
      </c>
      <c r="I76" s="43">
        <v>53</v>
      </c>
      <c r="J76" s="44">
        <v>179</v>
      </c>
      <c r="K76" s="44" t="str">
        <f t="shared" si="22"/>
        <v>Econômico</v>
      </c>
      <c r="L76" s="43" t="s">
        <v>215</v>
      </c>
      <c r="M76" s="43" t="s">
        <v>217</v>
      </c>
      <c r="N76" s="43" t="s">
        <v>220</v>
      </c>
      <c r="O76" s="43">
        <v>4.2</v>
      </c>
      <c r="P76" s="45">
        <f>(Tabela1[Avaliação Média (0-5)] * 20) / Tabela1[Preço Médio da Diária (R$)] * 10</f>
        <v>4.6927374301675977</v>
      </c>
      <c r="Q76" s="42" t="str">
        <f t="shared" si="17"/>
        <v>Bom</v>
      </c>
      <c r="R76" s="43">
        <v>3</v>
      </c>
      <c r="S76" s="46" t="s">
        <v>985</v>
      </c>
      <c r="T76" s="43">
        <f t="shared" si="18"/>
        <v>1</v>
      </c>
      <c r="U76" s="46">
        <f t="shared" si="19"/>
        <v>1</v>
      </c>
      <c r="V76" s="46">
        <f>IF(OR(ISNUMBER(FIND("café da manhã",S76)), ISNUMBER(FIND("café da manha",O76)), ISNUMBER(FIND("cafe da manha",S76)), ISNUMBER(FIND("café da amanhã incluído",S76))), 1, 0)</f>
        <v>1</v>
      </c>
      <c r="W76" s="46">
        <f>IF(OR(ISNUMBER(FIND("estacionamento",S76)),ISNUMBER(FIND("estaciona",S76))), 1, 0)</f>
        <v>1</v>
      </c>
      <c r="X76" s="43">
        <f>IF(OR(ISNUMBER(FIND("serviço de quarto",S76)), ISNUMBER(FIND("servico de quarto",O76)), ISNUMBER(FIND("room service",S76))), 1, 0)</f>
        <v>0</v>
      </c>
      <c r="Y76" s="43">
        <f>IF(OR(ISNUMBER(FIND("restaurante",S76)), ISNUMBER(FIND("bar",S76))), 1, 0)</f>
        <v>0</v>
      </c>
      <c r="Z76" s="43">
        <f>IF(OR(ISNUMBER(FIND("academia",S76)), ISNUMBER(FIND("fitness",S76)), ISNUMBER(FIND("ginásio",S76))), 1, 0)</f>
        <v>0</v>
      </c>
      <c r="AA76" s="43">
        <f>IF(ISNUMBER(FIND("piscina",S76)), 1, 0)</f>
        <v>0</v>
      </c>
      <c r="AB76" s="43">
        <f>IF(OR(ISNUMBER(FIND("acessível",S76)),ISNUMBER(FIND("deficiência",S76)), ISNUMBER(FIND("cadeirante",S76)), ISNUMBER(FIND("PCD",S76))), 1, 0)</f>
        <v>0</v>
      </c>
      <c r="AC76" s="43">
        <f t="shared" si="20"/>
        <v>1</v>
      </c>
      <c r="AD76" s="46" t="s">
        <v>321</v>
      </c>
      <c r="AE76" s="43" t="s">
        <v>430</v>
      </c>
      <c r="AF76" s="43" t="s">
        <v>497</v>
      </c>
      <c r="AG76" s="43" t="s">
        <v>1064</v>
      </c>
      <c r="AH76" s="39" t="s">
        <v>527</v>
      </c>
      <c r="AI76" s="48" t="s">
        <v>529</v>
      </c>
    </row>
    <row r="77" spans="1:35" ht="18" thickBot="1" x14ac:dyDescent="0.4">
      <c r="A77" s="38" t="s">
        <v>93</v>
      </c>
      <c r="B77" s="39" t="s">
        <v>598</v>
      </c>
      <c r="C77" s="39" t="s">
        <v>187</v>
      </c>
      <c r="D77" s="43" t="s">
        <v>812</v>
      </c>
      <c r="E77" s="50" t="s">
        <v>813</v>
      </c>
      <c r="F77" s="42">
        <v>1.2</v>
      </c>
      <c r="G77" s="42" t="str">
        <f t="shared" si="21"/>
        <v>1-2km</v>
      </c>
      <c r="H77" s="43" t="s">
        <v>211</v>
      </c>
      <c r="I77" s="43">
        <v>83</v>
      </c>
      <c r="J77" s="44">
        <v>196</v>
      </c>
      <c r="K77" s="44" t="str">
        <f t="shared" si="22"/>
        <v>Econômico</v>
      </c>
      <c r="L77" s="43" t="s">
        <v>216</v>
      </c>
      <c r="M77" s="43" t="s">
        <v>224</v>
      </c>
      <c r="N77" s="43" t="s">
        <v>227</v>
      </c>
      <c r="O77" s="43">
        <v>4</v>
      </c>
      <c r="P77" s="45">
        <f>(Tabela1[Avaliação Média (0-5)] * 20) / Tabela1[Preço Médio da Diária (R$)] * 10</f>
        <v>4.0816326530612246</v>
      </c>
      <c r="Q77" s="42" t="str">
        <f t="shared" si="17"/>
        <v>Bom</v>
      </c>
      <c r="R77" s="43">
        <v>3</v>
      </c>
      <c r="S77" s="46" t="s">
        <v>1049</v>
      </c>
      <c r="T77" s="43">
        <f t="shared" si="18"/>
        <v>1</v>
      </c>
      <c r="U77" s="46">
        <f t="shared" si="19"/>
        <v>1</v>
      </c>
      <c r="V77" s="46">
        <f>IF(OR(ISNUMBER(FIND("café da manhã",S77)), ISNUMBER(FIND("café da manha",O77)), ISNUMBER(FIND("cafe da manha",S77)), ISNUMBER(FIND("café da amanhã incluído",S77))), 1, 0)</f>
        <v>1</v>
      </c>
      <c r="W77" s="46">
        <f>IF(OR(ISNUMBER(FIND("estacionamento",S77)),ISNUMBER(FIND("estaciona",S77))), 1, 0)</f>
        <v>1</v>
      </c>
      <c r="X77" s="43">
        <f>IF(OR(ISNUMBER(FIND("serviço de quarto",S77)), ISNUMBER(FIND("servico de quarto",O77)), ISNUMBER(FIND("room service",S77))), 1, 0)</f>
        <v>0</v>
      </c>
      <c r="Y77" s="43">
        <f>IF(OR(ISNUMBER(FIND("restaurante",S77)), ISNUMBER(FIND("bar",S77))), 1, 0)</f>
        <v>0</v>
      </c>
      <c r="Z77" s="43">
        <f>IF(OR(ISNUMBER(FIND("academia",S77)), ISNUMBER(FIND("fitness",S77)), ISNUMBER(FIND("ginásio",S77))), 1, 0)</f>
        <v>0</v>
      </c>
      <c r="AA77" s="43">
        <f>IF(ISNUMBER(FIND("piscina",S77)), 1, 0)</f>
        <v>0</v>
      </c>
      <c r="AB77" s="43">
        <f>IF(OR(ISNUMBER(FIND("acessível",S77)),ISNUMBER(FIND("deficiência",S77)), ISNUMBER(FIND("cadeirante",S77)), ISNUMBER(FIND("PCD",S77))), 1, 0)</f>
        <v>1</v>
      </c>
      <c r="AC77" s="43">
        <f t="shared" si="20"/>
        <v>1</v>
      </c>
      <c r="AD77" s="46" t="s">
        <v>322</v>
      </c>
      <c r="AE77" s="43" t="s">
        <v>427</v>
      </c>
      <c r="AF77" s="43" t="s">
        <v>497</v>
      </c>
      <c r="AG77" s="43" t="s">
        <v>1064</v>
      </c>
      <c r="AH77" s="39" t="s">
        <v>528</v>
      </c>
      <c r="AI77" s="48" t="s">
        <v>532</v>
      </c>
    </row>
    <row r="78" spans="1:35" ht="18" thickBot="1" x14ac:dyDescent="0.4">
      <c r="A78" s="38" t="s">
        <v>94</v>
      </c>
      <c r="B78" s="39" t="s">
        <v>599</v>
      </c>
      <c r="C78" s="39" t="s">
        <v>187</v>
      </c>
      <c r="D78" s="43" t="s">
        <v>814</v>
      </c>
      <c r="E78" s="50" t="s">
        <v>815</v>
      </c>
      <c r="F78" s="42">
        <v>1.2</v>
      </c>
      <c r="G78" s="42" t="str">
        <f t="shared" si="21"/>
        <v>1-2km</v>
      </c>
      <c r="H78" s="43" t="s">
        <v>211</v>
      </c>
      <c r="I78" s="43">
        <v>26</v>
      </c>
      <c r="J78" s="44">
        <v>251</v>
      </c>
      <c r="K78" s="44" t="str">
        <f t="shared" si="22"/>
        <v>Médio</v>
      </c>
      <c r="L78" s="43" t="s">
        <v>215</v>
      </c>
      <c r="M78" s="43" t="s">
        <v>218</v>
      </c>
      <c r="N78" s="43" t="s">
        <v>220</v>
      </c>
      <c r="O78" s="43">
        <v>4.0999999999999996</v>
      </c>
      <c r="P78" s="45">
        <f>(Tabela1[Avaliação Média (0-5)] * 20) / Tabela1[Preço Médio da Diária (R$)] * 10</f>
        <v>3.2669322709163344</v>
      </c>
      <c r="Q78" s="42" t="str">
        <f t="shared" si="17"/>
        <v>Regular</v>
      </c>
      <c r="R78" s="43">
        <v>3</v>
      </c>
      <c r="S78" s="46" t="s">
        <v>1024</v>
      </c>
      <c r="T78" s="43">
        <f t="shared" si="18"/>
        <v>1</v>
      </c>
      <c r="U78" s="46">
        <f t="shared" si="19"/>
        <v>1</v>
      </c>
      <c r="V78" s="46">
        <f>IF(OR(ISNUMBER(FIND("café da manhã",S78)), ISNUMBER(FIND("café da manha",O78)), ISNUMBER(FIND("cafe da manha",S78)), ISNUMBER(FIND("café da amanhã incluído",S78))), 1, 0)</f>
        <v>1</v>
      </c>
      <c r="W78" s="46">
        <f>IF(OR(ISNUMBER(FIND("estacionamento",S78)),ISNUMBER(FIND("estaciona",S78))), 1, 0)</f>
        <v>1</v>
      </c>
      <c r="X78" s="43">
        <f>IF(OR(ISNUMBER(FIND("serviço de quarto",S78)), ISNUMBER(FIND("servico de quarto",O78)), ISNUMBER(FIND("room service",S78))), 1, 0)</f>
        <v>1</v>
      </c>
      <c r="Y78" s="43">
        <f>IF(OR(ISNUMBER(FIND("restaurante",S78)), ISNUMBER(FIND("bar",S78))), 1, 0)</f>
        <v>1</v>
      </c>
      <c r="Z78" s="43">
        <f>IF(OR(ISNUMBER(FIND("academia",S78)), ISNUMBER(FIND("fitness",S78)), ISNUMBER(FIND("ginásio",S78))), 1, 0)</f>
        <v>0</v>
      </c>
      <c r="AA78" s="43">
        <f>IF(ISNUMBER(FIND("piscina",S78)), 1, 0)</f>
        <v>0</v>
      </c>
      <c r="AB78" s="43">
        <f>IF(OR(ISNUMBER(FIND("acessível",S78)),ISNUMBER(FIND("deficiência",S78)), ISNUMBER(FIND("cadeirante",S78)), ISNUMBER(FIND("PCD",S78))), 1, 0)</f>
        <v>0</v>
      </c>
      <c r="AC78" s="43">
        <f t="shared" si="20"/>
        <v>1</v>
      </c>
      <c r="AD78" s="46" t="s">
        <v>323</v>
      </c>
      <c r="AE78" s="43" t="s">
        <v>426</v>
      </c>
      <c r="AF78" s="43" t="s">
        <v>497</v>
      </c>
      <c r="AG78" s="43" t="s">
        <v>1064</v>
      </c>
      <c r="AH78" s="39" t="s">
        <v>527</v>
      </c>
      <c r="AI78" s="48" t="s">
        <v>529</v>
      </c>
    </row>
    <row r="79" spans="1:35" ht="18" thickBot="1" x14ac:dyDescent="0.4">
      <c r="A79" s="38" t="s">
        <v>95</v>
      </c>
      <c r="B79" s="39" t="s">
        <v>600</v>
      </c>
      <c r="C79" s="39" t="s">
        <v>178</v>
      </c>
      <c r="D79" s="43" t="s">
        <v>816</v>
      </c>
      <c r="E79" s="50" t="s">
        <v>817</v>
      </c>
      <c r="F79" s="42">
        <v>1.2</v>
      </c>
      <c r="G79" s="42" t="str">
        <f t="shared" si="21"/>
        <v>1-2km</v>
      </c>
      <c r="H79" s="43" t="s">
        <v>211</v>
      </c>
      <c r="I79" s="43">
        <v>17</v>
      </c>
      <c r="J79" s="44">
        <v>237</v>
      </c>
      <c r="K79" s="44" t="str">
        <f t="shared" si="22"/>
        <v>Médio</v>
      </c>
      <c r="L79" s="43" t="s">
        <v>215</v>
      </c>
      <c r="M79" s="43" t="s">
        <v>218</v>
      </c>
      <c r="N79" s="43" t="s">
        <v>225</v>
      </c>
      <c r="O79" s="43">
        <v>4</v>
      </c>
      <c r="P79" s="45">
        <f>(Tabela1[Avaliação Média (0-5)] * 20) / Tabela1[Preço Médio da Diária (R$)] * 10</f>
        <v>3.3755274261603372</v>
      </c>
      <c r="Q79" s="42" t="str">
        <f t="shared" si="17"/>
        <v>Regular</v>
      </c>
      <c r="R79" s="43">
        <v>3</v>
      </c>
      <c r="S79" s="46" t="s">
        <v>977</v>
      </c>
      <c r="T79" s="43">
        <f t="shared" si="18"/>
        <v>1</v>
      </c>
      <c r="U79" s="46">
        <f t="shared" si="19"/>
        <v>1</v>
      </c>
      <c r="V79" s="46">
        <f>IF(OR(ISNUMBER(FIND("café da manhã",S79)), ISNUMBER(FIND("café da manha",O79)), ISNUMBER(FIND("cafe da manha",S79)), ISNUMBER(FIND("café da amanhã incluído",S79))), 1, 0)</f>
        <v>1</v>
      </c>
      <c r="W79" s="46">
        <f>IF(OR(ISNUMBER(FIND("estacionamento",S79)),ISNUMBER(FIND("estaciona",S79))), 1, 0)</f>
        <v>0</v>
      </c>
      <c r="X79" s="43">
        <f>IF(OR(ISNUMBER(FIND("serviço de quarto",S79)), ISNUMBER(FIND("servico de quarto",O79)), ISNUMBER(FIND("room service",S79))), 1, 0)</f>
        <v>0</v>
      </c>
      <c r="Y79" s="43">
        <f>IF(OR(ISNUMBER(FIND("restaurante",S79)), ISNUMBER(FIND("bar",S79))), 1, 0)</f>
        <v>0</v>
      </c>
      <c r="Z79" s="43">
        <f>IF(OR(ISNUMBER(FIND("academia",S79)), ISNUMBER(FIND("fitness",S79)), ISNUMBER(FIND("ginásio",S79))), 1, 0)</f>
        <v>0</v>
      </c>
      <c r="AA79" s="43">
        <f>IF(ISNUMBER(FIND("piscina",S79)), 1, 0)</f>
        <v>0</v>
      </c>
      <c r="AB79" s="43">
        <f>IF(OR(ISNUMBER(FIND("acessível",S79)),ISNUMBER(FIND("deficiência",S79)), ISNUMBER(FIND("cadeirante",S79)), ISNUMBER(FIND("PCD",S79))), 1, 0)</f>
        <v>0</v>
      </c>
      <c r="AC79" s="43">
        <f t="shared" si="20"/>
        <v>1</v>
      </c>
      <c r="AD79" s="46" t="s">
        <v>324</v>
      </c>
      <c r="AE79" s="43" t="s">
        <v>431</v>
      </c>
      <c r="AF79" s="43" t="s">
        <v>488</v>
      </c>
      <c r="AG79" s="43" t="s">
        <v>1064</v>
      </c>
      <c r="AH79" s="39" t="s">
        <v>527</v>
      </c>
      <c r="AI79" s="48" t="s">
        <v>529</v>
      </c>
    </row>
    <row r="80" spans="1:35" ht="18" thickBot="1" x14ac:dyDescent="0.4">
      <c r="A80" s="38" t="s">
        <v>96</v>
      </c>
      <c r="B80" s="39" t="s">
        <v>601</v>
      </c>
      <c r="C80" s="39" t="s">
        <v>202</v>
      </c>
      <c r="D80" s="43" t="s">
        <v>818</v>
      </c>
      <c r="E80" s="50" t="s">
        <v>819</v>
      </c>
      <c r="F80" s="42">
        <v>1.2</v>
      </c>
      <c r="G80" s="42" t="str">
        <f t="shared" si="21"/>
        <v>1-2km</v>
      </c>
      <c r="H80" s="43" t="s">
        <v>211</v>
      </c>
      <c r="I80" s="43">
        <v>100</v>
      </c>
      <c r="J80" s="44">
        <v>196</v>
      </c>
      <c r="K80" s="44" t="str">
        <f t="shared" si="22"/>
        <v>Econômico</v>
      </c>
      <c r="L80" s="43" t="s">
        <v>215</v>
      </c>
      <c r="M80" s="43" t="s">
        <v>217</v>
      </c>
      <c r="N80" s="43" t="s">
        <v>220</v>
      </c>
      <c r="O80" s="43">
        <v>4.0999999999999996</v>
      </c>
      <c r="P80" s="45">
        <f>(Tabela1[Avaliação Média (0-5)] * 20) / Tabela1[Preço Médio da Diária (R$)] * 10</f>
        <v>4.1836734693877551</v>
      </c>
      <c r="Q80" s="42" t="str">
        <f t="shared" si="17"/>
        <v>Bom</v>
      </c>
      <c r="R80" s="43">
        <v>3</v>
      </c>
      <c r="S80" s="46" t="s">
        <v>1050</v>
      </c>
      <c r="T80" s="43">
        <f t="shared" si="18"/>
        <v>1</v>
      </c>
      <c r="U80" s="46">
        <f t="shared" si="19"/>
        <v>1</v>
      </c>
      <c r="V80" s="46">
        <f>IF(OR(ISNUMBER(FIND("café da manhã",S80)), ISNUMBER(FIND("café da manha",O80)), ISNUMBER(FIND("cafe da manha",S80)), ISNUMBER(FIND("café da amanhã incluído",S80))), 1, 0)</f>
        <v>1</v>
      </c>
      <c r="W80" s="46">
        <f>IF(OR(ISNUMBER(FIND("estacionamento",S80)),ISNUMBER(FIND("estaciona",S80))), 1, 0)</f>
        <v>1</v>
      </c>
      <c r="X80" s="43">
        <f>IF(OR(ISNUMBER(FIND("serviço de quarto",S80)), ISNUMBER(FIND("servico de quarto",O80)), ISNUMBER(FIND("room service",S80))), 1, 0)</f>
        <v>1</v>
      </c>
      <c r="Y80" s="43">
        <f>IF(OR(ISNUMBER(FIND("restaurante",S80)), ISNUMBER(FIND("bar",S80))), 1, 0)</f>
        <v>0</v>
      </c>
      <c r="Z80" s="43">
        <f>IF(OR(ISNUMBER(FIND("academia",S80)), ISNUMBER(FIND("fitness",S80)), ISNUMBER(FIND("ginásio",S80))), 1, 0)</f>
        <v>0</v>
      </c>
      <c r="AA80" s="43">
        <f>IF(ISNUMBER(FIND("piscina",S80)), 1, 0)</f>
        <v>0</v>
      </c>
      <c r="AB80" s="43">
        <f>IF(OR(ISNUMBER(FIND("acessível",S80)),ISNUMBER(FIND("deficiência",S80)), ISNUMBER(FIND("cadeirante",S80)), ISNUMBER(FIND("PCD",S80))), 1, 0)</f>
        <v>1</v>
      </c>
      <c r="AC80" s="43">
        <f t="shared" si="20"/>
        <v>1</v>
      </c>
      <c r="AD80" s="46" t="s">
        <v>325</v>
      </c>
      <c r="AE80" s="43" t="s">
        <v>432</v>
      </c>
      <c r="AF80" s="43" t="s">
        <v>497</v>
      </c>
      <c r="AG80" s="43" t="s">
        <v>1064</v>
      </c>
      <c r="AH80" s="39" t="s">
        <v>528</v>
      </c>
      <c r="AI80" s="48" t="s">
        <v>532</v>
      </c>
    </row>
    <row r="81" spans="1:35" ht="18" thickBot="1" x14ac:dyDescent="0.4">
      <c r="A81" s="38" t="s">
        <v>97</v>
      </c>
      <c r="B81" s="39" t="s">
        <v>602</v>
      </c>
      <c r="C81" s="39" t="s">
        <v>203</v>
      </c>
      <c r="D81" s="43" t="s">
        <v>820</v>
      </c>
      <c r="E81" s="50" t="s">
        <v>821</v>
      </c>
      <c r="F81" s="42">
        <v>1.2</v>
      </c>
      <c r="G81" s="42" t="str">
        <f t="shared" si="21"/>
        <v>1-2km</v>
      </c>
      <c r="H81" s="43" t="s">
        <v>211</v>
      </c>
      <c r="I81" s="43">
        <v>69</v>
      </c>
      <c r="J81" s="44">
        <v>230</v>
      </c>
      <c r="K81" s="44" t="str">
        <f t="shared" si="22"/>
        <v>Médio</v>
      </c>
      <c r="L81" s="43" t="s">
        <v>215</v>
      </c>
      <c r="M81" s="43" t="s">
        <v>218</v>
      </c>
      <c r="N81" s="43" t="s">
        <v>220</v>
      </c>
      <c r="O81" s="43">
        <v>4.0999999999999996</v>
      </c>
      <c r="P81" s="45">
        <f>(Tabela1[Avaliação Média (0-5)] * 20) / Tabela1[Preço Médio da Diária (R$)] * 10</f>
        <v>3.5652173913043477</v>
      </c>
      <c r="Q81" s="42" t="str">
        <f t="shared" si="17"/>
        <v>Regular</v>
      </c>
      <c r="R81" s="43">
        <v>3</v>
      </c>
      <c r="S81" s="46" t="s">
        <v>986</v>
      </c>
      <c r="T81" s="43">
        <f t="shared" si="18"/>
        <v>1</v>
      </c>
      <c r="U81" s="46">
        <f t="shared" si="19"/>
        <v>1</v>
      </c>
      <c r="V81" s="46">
        <f>IF(OR(ISNUMBER(FIND("café da manhã",S81)), ISNUMBER(FIND("café da manha",O81)), ISNUMBER(FIND("cafe da manha",S81)), ISNUMBER(FIND("café da amanhã incluído",S81))), 1, 0)</f>
        <v>1</v>
      </c>
      <c r="W81" s="46">
        <f>IF(OR(ISNUMBER(FIND("estacionamento",S81)),ISNUMBER(FIND("estaciona",S81))), 1, 0)</f>
        <v>1</v>
      </c>
      <c r="X81" s="43">
        <f>IF(OR(ISNUMBER(FIND("serviço de quarto",S81)), ISNUMBER(FIND("servico de quarto",O81)), ISNUMBER(FIND("room service",S81))), 1, 0)</f>
        <v>0</v>
      </c>
      <c r="Y81" s="43">
        <f>IF(OR(ISNUMBER(FIND("restaurante",S81)), ISNUMBER(FIND("bar",S81))), 1, 0)</f>
        <v>0</v>
      </c>
      <c r="Z81" s="43">
        <f>IF(OR(ISNUMBER(FIND("academia",S81)), ISNUMBER(FIND("fitness",S81)), ISNUMBER(FIND("ginásio",S81))), 1, 0)</f>
        <v>0</v>
      </c>
      <c r="AA81" s="43">
        <f>IF(ISNUMBER(FIND("piscina",S81)), 1, 0)</f>
        <v>0</v>
      </c>
      <c r="AB81" s="43">
        <f>IF(OR(ISNUMBER(FIND("acessível",S81)),ISNUMBER(FIND("deficiência",S81)), ISNUMBER(FIND("cadeirante",S81)), ISNUMBER(FIND("PCD",S81))), 1, 0)</f>
        <v>0</v>
      </c>
      <c r="AC81" s="43">
        <f t="shared" si="20"/>
        <v>1</v>
      </c>
      <c r="AD81" s="46" t="s">
        <v>326</v>
      </c>
      <c r="AE81" s="43" t="s">
        <v>427</v>
      </c>
      <c r="AF81" s="43" t="s">
        <v>497</v>
      </c>
      <c r="AG81" s="43" t="s">
        <v>1064</v>
      </c>
      <c r="AH81" s="39" t="s">
        <v>528</v>
      </c>
      <c r="AI81" s="48" t="s">
        <v>532</v>
      </c>
    </row>
    <row r="82" spans="1:35" ht="18" thickBot="1" x14ac:dyDescent="0.4">
      <c r="A82" s="38" t="s">
        <v>98</v>
      </c>
      <c r="B82" s="39" t="s">
        <v>603</v>
      </c>
      <c r="C82" s="39" t="s">
        <v>183</v>
      </c>
      <c r="D82" s="43" t="s">
        <v>822</v>
      </c>
      <c r="E82" s="50" t="s">
        <v>823</v>
      </c>
      <c r="F82" s="42">
        <v>1.1000000000000001</v>
      </c>
      <c r="G82" s="42" t="str">
        <f t="shared" si="21"/>
        <v>1-2km</v>
      </c>
      <c r="H82" s="43" t="s">
        <v>211</v>
      </c>
      <c r="I82" s="43">
        <v>85</v>
      </c>
      <c r="J82" s="44">
        <v>190</v>
      </c>
      <c r="K82" s="44" t="str">
        <f t="shared" si="22"/>
        <v>Econômico</v>
      </c>
      <c r="L82" s="43" t="s">
        <v>215</v>
      </c>
      <c r="M82" s="43" t="s">
        <v>220</v>
      </c>
      <c r="N82" s="43" t="s">
        <v>220</v>
      </c>
      <c r="O82" s="43">
        <v>4.2</v>
      </c>
      <c r="P82" s="45">
        <f>(Tabela1[Avaliação Média (0-5)] * 20) / Tabela1[Preço Médio da Diária (R$)] * 10</f>
        <v>4.4210526315789469</v>
      </c>
      <c r="Q82" s="42" t="str">
        <f t="shared" si="17"/>
        <v>Bom</v>
      </c>
      <c r="R82" s="43">
        <v>3</v>
      </c>
      <c r="S82" s="46" t="s">
        <v>1025</v>
      </c>
      <c r="T82" s="43">
        <f t="shared" si="18"/>
        <v>1</v>
      </c>
      <c r="U82" s="46">
        <f t="shared" si="19"/>
        <v>1</v>
      </c>
      <c r="V82" s="46">
        <f>IF(OR(ISNUMBER(FIND("café da manhã",S82)), ISNUMBER(FIND("café da manha",O82)), ISNUMBER(FIND("cafe da manha",S82)), ISNUMBER(FIND("café da amanhã incluído",S82))), 1, 0)</f>
        <v>1</v>
      </c>
      <c r="W82" s="46">
        <f>IF(OR(ISNUMBER(FIND("estacionamento",S82)),ISNUMBER(FIND("estaciona",S82))), 1, 0)</f>
        <v>1</v>
      </c>
      <c r="X82" s="43">
        <f>IF(OR(ISNUMBER(FIND("serviço de quarto",S82)), ISNUMBER(FIND("servico de quarto",O82)), ISNUMBER(FIND("room service",S82))), 1, 0)</f>
        <v>1</v>
      </c>
      <c r="Y82" s="43">
        <f>IF(OR(ISNUMBER(FIND("restaurante",S82)), ISNUMBER(FIND("bar",S82))), 1, 0)</f>
        <v>1</v>
      </c>
      <c r="Z82" s="43">
        <f>IF(OR(ISNUMBER(FIND("academia",S82)), ISNUMBER(FIND("fitness",S82)), ISNUMBER(FIND("ginásio",S82))), 1, 0)</f>
        <v>0</v>
      </c>
      <c r="AA82" s="43">
        <f>IF(ISNUMBER(FIND("piscina",S82)), 1, 0)</f>
        <v>0</v>
      </c>
      <c r="AB82" s="43">
        <f>IF(OR(ISNUMBER(FIND("acessível",S82)),ISNUMBER(FIND("deficiência",S82)), ISNUMBER(FIND("cadeirante",S82)), ISNUMBER(FIND("PCD",S82))), 1, 0)</f>
        <v>0</v>
      </c>
      <c r="AC82" s="43">
        <f t="shared" si="20"/>
        <v>1</v>
      </c>
      <c r="AD82" s="46" t="s">
        <v>327</v>
      </c>
      <c r="AE82" s="43" t="s">
        <v>427</v>
      </c>
      <c r="AF82" s="43" t="s">
        <v>488</v>
      </c>
      <c r="AG82" s="43" t="s">
        <v>1067</v>
      </c>
      <c r="AH82" s="39" t="s">
        <v>527</v>
      </c>
      <c r="AI82" s="48" t="s">
        <v>529</v>
      </c>
    </row>
    <row r="83" spans="1:35" ht="18" thickBot="1" x14ac:dyDescent="0.4">
      <c r="A83" s="38" t="s">
        <v>99</v>
      </c>
      <c r="B83" s="39" t="s">
        <v>604</v>
      </c>
      <c r="C83" s="39" t="s">
        <v>187</v>
      </c>
      <c r="D83" s="43" t="s">
        <v>826</v>
      </c>
      <c r="E83" s="50" t="s">
        <v>824</v>
      </c>
      <c r="F83" s="42">
        <v>1.5</v>
      </c>
      <c r="G83" s="42" t="str">
        <f t="shared" si="21"/>
        <v>1-2km</v>
      </c>
      <c r="H83" s="43" t="s">
        <v>211</v>
      </c>
      <c r="I83" s="43">
        <v>36</v>
      </c>
      <c r="J83" s="44">
        <v>176</v>
      </c>
      <c r="K83" s="44" t="str">
        <f t="shared" si="22"/>
        <v>Econômico</v>
      </c>
      <c r="L83" s="43" t="s">
        <v>215</v>
      </c>
      <c r="M83" s="43" t="s">
        <v>218</v>
      </c>
      <c r="N83" s="43" t="s">
        <v>220</v>
      </c>
      <c r="O83" s="43">
        <v>3.9</v>
      </c>
      <c r="P83" s="45">
        <f>(Tabela1[Avaliação Média (0-5)] * 20) / Tabela1[Preço Médio da Diária (R$)] * 10</f>
        <v>4.4318181818181817</v>
      </c>
      <c r="Q83" s="42" t="str">
        <f t="shared" si="17"/>
        <v>Bom</v>
      </c>
      <c r="R83" s="43">
        <v>3</v>
      </c>
      <c r="S83" s="46" t="s">
        <v>978</v>
      </c>
      <c r="T83" s="43">
        <f t="shared" si="18"/>
        <v>1</v>
      </c>
      <c r="U83" s="46">
        <f t="shared" si="19"/>
        <v>1</v>
      </c>
      <c r="V83" s="46">
        <f>IF(OR(ISNUMBER(FIND("café da manhã",S83)), ISNUMBER(FIND("café da manha",O83)), ISNUMBER(FIND("cafe da manha",S83)), ISNUMBER(FIND("café da amanhã incluído",S83))), 1, 0)</f>
        <v>1</v>
      </c>
      <c r="W83" s="46">
        <f>IF(OR(ISNUMBER(FIND("estacionamento",S83)),ISNUMBER(FIND("estaciona",S83))), 1, 0)</f>
        <v>0</v>
      </c>
      <c r="X83" s="43">
        <f>IF(OR(ISNUMBER(FIND("serviço de quarto",S83)), ISNUMBER(FIND("servico de quarto",O83)), ISNUMBER(FIND("room service",S83))), 1, 0)</f>
        <v>0</v>
      </c>
      <c r="Y83" s="43">
        <f>IF(OR(ISNUMBER(FIND("restaurante",S83)), ISNUMBER(FIND("bar",S83))), 1, 0)</f>
        <v>0</v>
      </c>
      <c r="Z83" s="43">
        <f>IF(OR(ISNUMBER(FIND("academia",S83)), ISNUMBER(FIND("fitness",S83)), ISNUMBER(FIND("ginásio",S83))), 1, 0)</f>
        <v>0</v>
      </c>
      <c r="AA83" s="43">
        <f>IF(ISNUMBER(FIND("piscina",S83)), 1, 0)</f>
        <v>0</v>
      </c>
      <c r="AB83" s="43">
        <f>IF(OR(ISNUMBER(FIND("acessível",S83)),ISNUMBER(FIND("deficiência",S83)), ISNUMBER(FIND("cadeirante",S83)), ISNUMBER(FIND("PCD",S83))), 1, 0)</f>
        <v>0</v>
      </c>
      <c r="AC83" s="43">
        <f t="shared" si="20"/>
        <v>1</v>
      </c>
      <c r="AD83" s="46" t="s">
        <v>328</v>
      </c>
      <c r="AE83" s="43" t="s">
        <v>427</v>
      </c>
      <c r="AF83" s="43" t="s">
        <v>496</v>
      </c>
      <c r="AG83" s="43" t="s">
        <v>1064</v>
      </c>
      <c r="AH83" s="39" t="s">
        <v>527</v>
      </c>
      <c r="AI83" s="48" t="s">
        <v>529</v>
      </c>
    </row>
    <row r="84" spans="1:35" ht="18" thickBot="1" x14ac:dyDescent="0.4">
      <c r="A84" s="38" t="s">
        <v>100</v>
      </c>
      <c r="B84" s="39" t="s">
        <v>605</v>
      </c>
      <c r="C84" s="39" t="s">
        <v>187</v>
      </c>
      <c r="D84" s="43" t="s">
        <v>753</v>
      </c>
      <c r="E84" s="50" t="s">
        <v>825</v>
      </c>
      <c r="F84" s="42">
        <v>1.3</v>
      </c>
      <c r="G84" s="42" t="str">
        <f t="shared" si="21"/>
        <v>1-2km</v>
      </c>
      <c r="H84" s="43" t="s">
        <v>211</v>
      </c>
      <c r="I84" s="43">
        <v>100</v>
      </c>
      <c r="J84" s="44">
        <v>270</v>
      </c>
      <c r="K84" s="44" t="str">
        <f t="shared" si="22"/>
        <v>Médio</v>
      </c>
      <c r="L84" s="43" t="s">
        <v>215</v>
      </c>
      <c r="M84" s="43" t="s">
        <v>218</v>
      </c>
      <c r="N84" s="43" t="s">
        <v>220</v>
      </c>
      <c r="O84" s="43">
        <v>4.2</v>
      </c>
      <c r="P84" s="45">
        <f>(Tabela1[Avaliação Média (0-5)] * 20) / Tabela1[Preço Médio da Diária (R$)] * 10</f>
        <v>3.1111111111111112</v>
      </c>
      <c r="Q84" s="42" t="str">
        <f t="shared" si="17"/>
        <v>Regular</v>
      </c>
      <c r="R84" s="43">
        <v>3</v>
      </c>
      <c r="S84" s="46" t="s">
        <v>987</v>
      </c>
      <c r="T84" s="43">
        <f t="shared" si="18"/>
        <v>1</v>
      </c>
      <c r="U84" s="46">
        <f t="shared" si="19"/>
        <v>1</v>
      </c>
      <c r="V84" s="46">
        <f>IF(OR(ISNUMBER(FIND("café da manhã",S84)), ISNUMBER(FIND("café da manha",O84)), ISNUMBER(FIND("cafe da manha",S84)), ISNUMBER(FIND("café da amanhã incluído",S84))), 1, 0)</f>
        <v>1</v>
      </c>
      <c r="W84" s="46">
        <f>IF(OR(ISNUMBER(FIND("estacionamento",S84)),ISNUMBER(FIND("estaciona",S84))), 1, 0)</f>
        <v>1</v>
      </c>
      <c r="X84" s="43">
        <f>IF(OR(ISNUMBER(FIND("serviço de quarto",S84)), ISNUMBER(FIND("servico de quarto",O84)), ISNUMBER(FIND("room service",S84))), 1, 0)</f>
        <v>0</v>
      </c>
      <c r="Y84" s="43">
        <f>IF(OR(ISNUMBER(FIND("restaurante",S84)), ISNUMBER(FIND("bar",S84))), 1, 0)</f>
        <v>0</v>
      </c>
      <c r="Z84" s="43">
        <f>IF(OR(ISNUMBER(FIND("academia",S84)), ISNUMBER(FIND("fitness",S84)), ISNUMBER(FIND("ginásio",S84))), 1, 0)</f>
        <v>0</v>
      </c>
      <c r="AA84" s="43">
        <f>IF(ISNUMBER(FIND("piscina",S84)), 1, 0)</f>
        <v>0</v>
      </c>
      <c r="AB84" s="43">
        <f>IF(OR(ISNUMBER(FIND("acessível",S84)),ISNUMBER(FIND("deficiência",S84)), ISNUMBER(FIND("cadeirante",S84)), ISNUMBER(FIND("PCD",S84))), 1, 0)</f>
        <v>0</v>
      </c>
      <c r="AC84" s="43">
        <f t="shared" si="20"/>
        <v>1</v>
      </c>
      <c r="AD84" s="46" t="s">
        <v>329</v>
      </c>
      <c r="AE84" s="43" t="s">
        <v>430</v>
      </c>
      <c r="AF84" s="43" t="s">
        <v>488</v>
      </c>
      <c r="AG84" s="43" t="s">
        <v>1064</v>
      </c>
      <c r="AH84" s="39" t="s">
        <v>528</v>
      </c>
      <c r="AI84" s="48" t="s">
        <v>538</v>
      </c>
    </row>
    <row r="85" spans="1:35" ht="18" thickBot="1" x14ac:dyDescent="0.4">
      <c r="A85" s="38" t="s">
        <v>101</v>
      </c>
      <c r="B85" s="39" t="s">
        <v>606</v>
      </c>
      <c r="C85" s="39" t="s">
        <v>187</v>
      </c>
      <c r="D85" s="43" t="s">
        <v>827</v>
      </c>
      <c r="E85" s="50" t="s">
        <v>828</v>
      </c>
      <c r="F85" s="42">
        <v>1.4</v>
      </c>
      <c r="G85" s="42" t="str">
        <f t="shared" si="21"/>
        <v>1-2km</v>
      </c>
      <c r="H85" s="43" t="s">
        <v>211</v>
      </c>
      <c r="I85" s="43">
        <v>84</v>
      </c>
      <c r="J85" s="44">
        <v>173</v>
      </c>
      <c r="K85" s="44" t="str">
        <f t="shared" si="22"/>
        <v>Econômico</v>
      </c>
      <c r="L85" s="43" t="s">
        <v>215</v>
      </c>
      <c r="M85" s="43" t="s">
        <v>218</v>
      </c>
      <c r="N85" s="43" t="s">
        <v>220</v>
      </c>
      <c r="O85" s="43">
        <v>4.0999999999999996</v>
      </c>
      <c r="P85" s="45">
        <f>(Tabela1[Avaliação Média (0-5)] * 20) / Tabela1[Preço Médio da Diária (R$)] * 10</f>
        <v>4.7398843930635834</v>
      </c>
      <c r="Q85" s="42" t="str">
        <f t="shared" si="17"/>
        <v>Bom</v>
      </c>
      <c r="R85" s="43">
        <v>3</v>
      </c>
      <c r="S85" s="46" t="s">
        <v>977</v>
      </c>
      <c r="T85" s="43">
        <f t="shared" si="18"/>
        <v>1</v>
      </c>
      <c r="U85" s="46">
        <f t="shared" si="19"/>
        <v>1</v>
      </c>
      <c r="V85" s="46">
        <f>IF(OR(ISNUMBER(FIND("café da manhã",S85)), ISNUMBER(FIND("café da manha",O85)), ISNUMBER(FIND("cafe da manha",S85)), ISNUMBER(FIND("café da amanhã incluído",S85))), 1, 0)</f>
        <v>1</v>
      </c>
      <c r="W85" s="46">
        <f>IF(OR(ISNUMBER(FIND("estacionamento",S85)),ISNUMBER(FIND("estaciona",S85))), 1, 0)</f>
        <v>0</v>
      </c>
      <c r="X85" s="43">
        <f>IF(OR(ISNUMBER(FIND("serviço de quarto",S85)), ISNUMBER(FIND("servico de quarto",O85)), ISNUMBER(FIND("room service",S85))), 1, 0)</f>
        <v>0</v>
      </c>
      <c r="Y85" s="43">
        <f>IF(OR(ISNUMBER(FIND("restaurante",S85)), ISNUMBER(FIND("bar",S85))), 1, 0)</f>
        <v>0</v>
      </c>
      <c r="Z85" s="43">
        <f>IF(OR(ISNUMBER(FIND("academia",S85)), ISNUMBER(FIND("fitness",S85)), ISNUMBER(FIND("ginásio",S85))), 1, 0)</f>
        <v>0</v>
      </c>
      <c r="AA85" s="43">
        <f>IF(ISNUMBER(FIND("piscina",S85)), 1, 0)</f>
        <v>0</v>
      </c>
      <c r="AB85" s="43">
        <f>IF(OR(ISNUMBER(FIND("acessível",S85)),ISNUMBER(FIND("deficiência",S85)), ISNUMBER(FIND("cadeirante",S85)), ISNUMBER(FIND("PCD",S85))), 1, 0)</f>
        <v>0</v>
      </c>
      <c r="AC85" s="43">
        <f t="shared" si="20"/>
        <v>1</v>
      </c>
      <c r="AD85" s="46" t="s">
        <v>330</v>
      </c>
      <c r="AE85" s="43" t="s">
        <v>433</v>
      </c>
      <c r="AF85" s="43" t="s">
        <v>488</v>
      </c>
      <c r="AG85" s="43" t="s">
        <v>1064</v>
      </c>
      <c r="AH85" s="39" t="s">
        <v>528</v>
      </c>
      <c r="AI85" s="48" t="s">
        <v>532</v>
      </c>
    </row>
    <row r="86" spans="1:35" ht="18" thickBot="1" x14ac:dyDescent="0.4">
      <c r="A86" s="38" t="s">
        <v>102</v>
      </c>
      <c r="B86" s="39" t="s">
        <v>607</v>
      </c>
      <c r="C86" s="39" t="s">
        <v>201</v>
      </c>
      <c r="D86" s="43" t="s">
        <v>829</v>
      </c>
      <c r="E86" s="50" t="s">
        <v>830</v>
      </c>
      <c r="F86" s="42">
        <v>1.1000000000000001</v>
      </c>
      <c r="G86" s="42" t="str">
        <f t="shared" si="21"/>
        <v>1-2km</v>
      </c>
      <c r="H86" s="43" t="s">
        <v>211</v>
      </c>
      <c r="I86" s="43">
        <v>48</v>
      </c>
      <c r="J86" s="44">
        <v>190</v>
      </c>
      <c r="K86" s="44" t="str">
        <f t="shared" si="22"/>
        <v>Econômico</v>
      </c>
      <c r="L86" s="43" t="s">
        <v>215</v>
      </c>
      <c r="M86" s="43" t="s">
        <v>217</v>
      </c>
      <c r="N86" s="43" t="s">
        <v>225</v>
      </c>
      <c r="O86" s="43">
        <v>3.6</v>
      </c>
      <c r="P86" s="45">
        <f>(Tabela1[Avaliação Média (0-5)] * 20) / Tabela1[Preço Médio da Diária (R$)] * 10</f>
        <v>3.7894736842105265</v>
      </c>
      <c r="Q86" s="42" t="str">
        <f t="shared" si="17"/>
        <v>Regular</v>
      </c>
      <c r="R86" s="43">
        <v>3</v>
      </c>
      <c r="S86" s="46" t="s">
        <v>1009</v>
      </c>
      <c r="T86" s="43">
        <f t="shared" si="18"/>
        <v>1</v>
      </c>
      <c r="U86" s="46">
        <f t="shared" si="19"/>
        <v>1</v>
      </c>
      <c r="V86" s="46">
        <f>IF(OR(ISNUMBER(FIND("café da manhã",S86)), ISNUMBER(FIND("café da manha",O86)), ISNUMBER(FIND("cafe da manha",S86)), ISNUMBER(FIND("café da amanhã incluído",S86))), 1, 0)</f>
        <v>1</v>
      </c>
      <c r="W86" s="46">
        <f>IF(OR(ISNUMBER(FIND("estacionamento",S86)),ISNUMBER(FIND("estaciona",S86))), 1, 0)</f>
        <v>1</v>
      </c>
      <c r="X86" s="43">
        <f>IF(OR(ISNUMBER(FIND("serviço de quarto",S86)), ISNUMBER(FIND("servico de quarto",O86)), ISNUMBER(FIND("room service",S86))), 1, 0)</f>
        <v>1</v>
      </c>
      <c r="Y86" s="43">
        <f>IF(OR(ISNUMBER(FIND("restaurante",S86)), ISNUMBER(FIND("bar",S86))), 1, 0)</f>
        <v>0</v>
      </c>
      <c r="Z86" s="43">
        <f>IF(OR(ISNUMBER(FIND("academia",S86)), ISNUMBER(FIND("fitness",S86)), ISNUMBER(FIND("ginásio",S86))), 1, 0)</f>
        <v>0</v>
      </c>
      <c r="AA86" s="43">
        <f>IF(ISNUMBER(FIND("piscina",S86)), 1, 0)</f>
        <v>0</v>
      </c>
      <c r="AB86" s="43">
        <f>IF(OR(ISNUMBER(FIND("acessível",S86)),ISNUMBER(FIND("deficiência",S86)), ISNUMBER(FIND("cadeirante",S86)), ISNUMBER(FIND("PCD",S86))), 1, 0)</f>
        <v>0</v>
      </c>
      <c r="AC86" s="43">
        <f t="shared" si="20"/>
        <v>1</v>
      </c>
      <c r="AD86" s="46" t="s">
        <v>331</v>
      </c>
      <c r="AE86" s="43" t="s">
        <v>434</v>
      </c>
      <c r="AF86" s="43" t="s">
        <v>488</v>
      </c>
      <c r="AG86" s="43" t="s">
        <v>1064</v>
      </c>
      <c r="AH86" s="39" t="s">
        <v>528</v>
      </c>
      <c r="AI86" s="48" t="s">
        <v>539</v>
      </c>
    </row>
    <row r="87" spans="1:35" ht="18" thickBot="1" x14ac:dyDescent="0.4">
      <c r="A87" s="38" t="s">
        <v>103</v>
      </c>
      <c r="B87" s="39" t="s">
        <v>608</v>
      </c>
      <c r="C87" s="39" t="s">
        <v>203</v>
      </c>
      <c r="D87" s="43" t="s">
        <v>831</v>
      </c>
      <c r="E87" s="50" t="s">
        <v>832</v>
      </c>
      <c r="F87" s="42">
        <v>1</v>
      </c>
      <c r="G87" s="42" t="str">
        <f t="shared" si="21"/>
        <v>1-2km</v>
      </c>
      <c r="H87" s="43" t="s">
        <v>211</v>
      </c>
      <c r="I87" s="43">
        <v>107</v>
      </c>
      <c r="J87" s="44">
        <v>170</v>
      </c>
      <c r="K87" s="44" t="str">
        <f t="shared" si="22"/>
        <v>Econômico</v>
      </c>
      <c r="L87" s="43" t="s">
        <v>215</v>
      </c>
      <c r="M87" s="43" t="s">
        <v>217</v>
      </c>
      <c r="N87" s="43" t="s">
        <v>220</v>
      </c>
      <c r="O87" s="43">
        <v>4</v>
      </c>
      <c r="P87" s="45">
        <f>(Tabela1[Avaliação Média (0-5)] * 20) / Tabela1[Preço Médio da Diária (R$)] * 10</f>
        <v>4.7058823529411766</v>
      </c>
      <c r="Q87" s="42" t="str">
        <f t="shared" si="17"/>
        <v>Bom</v>
      </c>
      <c r="R87" s="43">
        <v>3</v>
      </c>
      <c r="S87" s="46" t="s">
        <v>1051</v>
      </c>
      <c r="T87" s="43">
        <f t="shared" si="18"/>
        <v>1</v>
      </c>
      <c r="U87" s="46">
        <f t="shared" si="19"/>
        <v>1</v>
      </c>
      <c r="V87" s="46">
        <f>IF(OR(ISNUMBER(FIND("café da manhã",S87)), ISNUMBER(FIND("café da manha",O87)), ISNUMBER(FIND("cafe da manha",S87)), ISNUMBER(FIND("café da amanhã incluído",S87))), 1, 0)</f>
        <v>1</v>
      </c>
      <c r="W87" s="46">
        <f>IF(OR(ISNUMBER(FIND("estacionamento",S87)),ISNUMBER(FIND("estaciona",S87))), 1, 0)</f>
        <v>0</v>
      </c>
      <c r="X87" s="43">
        <f>IF(OR(ISNUMBER(FIND("serviço de quarto",S87)), ISNUMBER(FIND("servico de quarto",O87)), ISNUMBER(FIND("room service",S87))), 1, 0)</f>
        <v>0</v>
      </c>
      <c r="Y87" s="43">
        <f>IF(OR(ISNUMBER(FIND("restaurante",S87)), ISNUMBER(FIND("bar",S87))), 1, 0)</f>
        <v>0</v>
      </c>
      <c r="Z87" s="43">
        <f>IF(OR(ISNUMBER(FIND("academia",S87)), ISNUMBER(FIND("fitness",S87)), ISNUMBER(FIND("ginásio",S87))), 1, 0)</f>
        <v>0</v>
      </c>
      <c r="AA87" s="43">
        <f>IF(ISNUMBER(FIND("piscina",S87)), 1, 0)</f>
        <v>0</v>
      </c>
      <c r="AB87" s="43">
        <f>IF(OR(ISNUMBER(FIND("acessível",S87)),ISNUMBER(FIND("deficiência",S87)), ISNUMBER(FIND("cadeirante",S87)), ISNUMBER(FIND("PCD",S87))), 1, 0)</f>
        <v>1</v>
      </c>
      <c r="AC87" s="43">
        <f t="shared" si="20"/>
        <v>1</v>
      </c>
      <c r="AD87" s="46" t="s">
        <v>332</v>
      </c>
      <c r="AE87" s="43" t="s">
        <v>433</v>
      </c>
      <c r="AF87" s="43" t="s">
        <v>488</v>
      </c>
      <c r="AG87" s="43" t="s">
        <v>1064</v>
      </c>
      <c r="AH87" s="39" t="s">
        <v>528</v>
      </c>
      <c r="AI87" s="48" t="s">
        <v>532</v>
      </c>
    </row>
    <row r="88" spans="1:35" ht="18" thickBot="1" x14ac:dyDescent="0.4">
      <c r="A88" s="38" t="s">
        <v>104</v>
      </c>
      <c r="B88" s="39" t="s">
        <v>609</v>
      </c>
      <c r="C88" s="39" t="s">
        <v>178</v>
      </c>
      <c r="D88" s="40" t="s">
        <v>833</v>
      </c>
      <c r="E88" s="50" t="s">
        <v>834</v>
      </c>
      <c r="F88" s="42">
        <v>0.9</v>
      </c>
      <c r="G88" s="42" t="str">
        <f t="shared" si="21"/>
        <v>Até 1km</v>
      </c>
      <c r="H88" s="43" t="s">
        <v>211</v>
      </c>
      <c r="I88" s="43">
        <v>91</v>
      </c>
      <c r="J88" s="44">
        <v>254</v>
      </c>
      <c r="K88" s="44" t="str">
        <f t="shared" si="22"/>
        <v>Médio</v>
      </c>
      <c r="L88" s="43" t="s">
        <v>215</v>
      </c>
      <c r="M88" s="43" t="s">
        <v>218</v>
      </c>
      <c r="N88" s="43" t="s">
        <v>220</v>
      </c>
      <c r="O88" s="43">
        <v>4.3</v>
      </c>
      <c r="P88" s="45">
        <f>(Tabela1[Avaliação Média (0-5)] * 20) / Tabela1[Preço Médio da Diária (R$)] * 10</f>
        <v>3.3858267716535435</v>
      </c>
      <c r="Q88" s="42" t="str">
        <f t="shared" si="17"/>
        <v>Regular</v>
      </c>
      <c r="R88" s="43">
        <v>3</v>
      </c>
      <c r="S88" s="46" t="s">
        <v>977</v>
      </c>
      <c r="T88" s="43">
        <f t="shared" si="18"/>
        <v>1</v>
      </c>
      <c r="U88" s="46">
        <f t="shared" si="19"/>
        <v>1</v>
      </c>
      <c r="V88" s="46">
        <f>IF(OR(ISNUMBER(FIND("café da manhã",S88)), ISNUMBER(FIND("café da manha",O88)), ISNUMBER(FIND("cafe da manha",S88)), ISNUMBER(FIND("café da amanhã incluído",S88))), 1, 0)</f>
        <v>1</v>
      </c>
      <c r="W88" s="46">
        <f>IF(OR(ISNUMBER(FIND("estacionamento",S88)),ISNUMBER(FIND("estaciona",S88))), 1, 0)</f>
        <v>0</v>
      </c>
      <c r="X88" s="43">
        <f>IF(OR(ISNUMBER(FIND("serviço de quarto",S88)), ISNUMBER(FIND("servico de quarto",O88)), ISNUMBER(FIND("room service",S88))), 1, 0)</f>
        <v>0</v>
      </c>
      <c r="Y88" s="43">
        <f>IF(OR(ISNUMBER(FIND("restaurante",S88)), ISNUMBER(FIND("bar",S88))), 1, 0)</f>
        <v>0</v>
      </c>
      <c r="Z88" s="43">
        <f>IF(OR(ISNUMBER(FIND("academia",S88)), ISNUMBER(FIND("fitness",S88)), ISNUMBER(FIND("ginásio",S88))), 1, 0)</f>
        <v>0</v>
      </c>
      <c r="AA88" s="43">
        <f>IF(ISNUMBER(FIND("piscina",S88)), 1, 0)</f>
        <v>0</v>
      </c>
      <c r="AB88" s="43">
        <f>IF(OR(ISNUMBER(FIND("acessível",S88)),ISNUMBER(FIND("deficiência",S88)), ISNUMBER(FIND("cadeirante",S88)), ISNUMBER(FIND("PCD",S88))), 1, 0)</f>
        <v>0</v>
      </c>
      <c r="AC88" s="43">
        <f t="shared" si="20"/>
        <v>1</v>
      </c>
      <c r="AD88" s="46" t="s">
        <v>333</v>
      </c>
      <c r="AE88" s="43" t="s">
        <v>435</v>
      </c>
      <c r="AF88" s="43" t="s">
        <v>488</v>
      </c>
      <c r="AG88" s="43" t="s">
        <v>1064</v>
      </c>
      <c r="AH88" s="39" t="s">
        <v>528</v>
      </c>
      <c r="AI88" s="48" t="s">
        <v>937</v>
      </c>
    </row>
    <row r="89" spans="1:35" ht="18" thickBot="1" x14ac:dyDescent="0.4">
      <c r="A89" s="38" t="s">
        <v>105</v>
      </c>
      <c r="B89" s="39" t="s">
        <v>610</v>
      </c>
      <c r="C89" s="39" t="s">
        <v>178</v>
      </c>
      <c r="D89" s="43" t="s">
        <v>835</v>
      </c>
      <c r="E89" s="50" t="s">
        <v>836</v>
      </c>
      <c r="F89" s="42">
        <v>0.9</v>
      </c>
      <c r="G89" s="42" t="str">
        <f t="shared" si="21"/>
        <v>Até 1km</v>
      </c>
      <c r="H89" s="43" t="s">
        <v>211</v>
      </c>
      <c r="I89" s="43">
        <v>64</v>
      </c>
      <c r="J89" s="44">
        <v>120</v>
      </c>
      <c r="K89" s="44" t="str">
        <f t="shared" si="22"/>
        <v>Econômico</v>
      </c>
      <c r="L89" s="43" t="s">
        <v>215</v>
      </c>
      <c r="M89" s="43" t="s">
        <v>220</v>
      </c>
      <c r="N89" s="43" t="s">
        <v>220</v>
      </c>
      <c r="O89" s="43">
        <v>3.1</v>
      </c>
      <c r="P89" s="45">
        <f>(Tabela1[Avaliação Média (0-5)] * 20) / Tabela1[Preço Médio da Diária (R$)] * 10</f>
        <v>5.166666666666667</v>
      </c>
      <c r="Q89" s="42" t="str">
        <f t="shared" si="17"/>
        <v>Bom</v>
      </c>
      <c r="R89" s="43">
        <v>3</v>
      </c>
      <c r="S89" s="46" t="s">
        <v>1010</v>
      </c>
      <c r="T89" s="43">
        <f t="shared" si="18"/>
        <v>1</v>
      </c>
      <c r="U89" s="46">
        <f t="shared" si="19"/>
        <v>1</v>
      </c>
      <c r="V89" s="46">
        <f>IF(OR(ISNUMBER(FIND("café da manhã",S89)), ISNUMBER(FIND("café da manha",O89)), ISNUMBER(FIND("cafe da manha",S89)), ISNUMBER(FIND("café da amanhã incluído",S89))), 1, 0)</f>
        <v>1</v>
      </c>
      <c r="W89" s="46">
        <f>IF(OR(ISNUMBER(FIND("estacionamento",S89)),ISNUMBER(FIND("estaciona",S89))), 1, 0)</f>
        <v>0</v>
      </c>
      <c r="X89" s="43">
        <f>IF(OR(ISNUMBER(FIND("serviço de quarto",S89)), ISNUMBER(FIND("servico de quarto",O89)), ISNUMBER(FIND("room service",S89))), 1, 0)</f>
        <v>1</v>
      </c>
      <c r="Y89" s="43">
        <f>IF(OR(ISNUMBER(FIND("restaurante",S89)), ISNUMBER(FIND("bar",S89))), 1, 0)</f>
        <v>0</v>
      </c>
      <c r="Z89" s="43">
        <f>IF(OR(ISNUMBER(FIND("academia",S89)), ISNUMBER(FIND("fitness",S89)), ISNUMBER(FIND("ginásio",S89))), 1, 0)</f>
        <v>0</v>
      </c>
      <c r="AA89" s="43">
        <f>IF(ISNUMBER(FIND("piscina",S89)), 1, 0)</f>
        <v>0</v>
      </c>
      <c r="AB89" s="43">
        <f>IF(OR(ISNUMBER(FIND("acessível",S89)),ISNUMBER(FIND("deficiência",S89)), ISNUMBER(FIND("cadeirante",S89)), ISNUMBER(FIND("PCD",S89))), 1, 0)</f>
        <v>0</v>
      </c>
      <c r="AC89" s="43">
        <f t="shared" si="20"/>
        <v>1</v>
      </c>
      <c r="AD89" s="46" t="s">
        <v>334</v>
      </c>
      <c r="AE89" s="43" t="s">
        <v>436</v>
      </c>
      <c r="AF89" s="43" t="s">
        <v>497</v>
      </c>
      <c r="AG89" s="43" t="s">
        <v>1064</v>
      </c>
      <c r="AH89" s="39" t="s">
        <v>527</v>
      </c>
      <c r="AI89" s="48" t="s">
        <v>529</v>
      </c>
    </row>
    <row r="90" spans="1:35" ht="18" thickBot="1" x14ac:dyDescent="0.4">
      <c r="A90" s="38" t="s">
        <v>106</v>
      </c>
      <c r="B90" s="39" t="s">
        <v>611</v>
      </c>
      <c r="C90" s="39" t="s">
        <v>187</v>
      </c>
      <c r="D90" s="43" t="s">
        <v>837</v>
      </c>
      <c r="E90" s="50" t="s">
        <v>838</v>
      </c>
      <c r="F90" s="42">
        <v>1</v>
      </c>
      <c r="G90" s="42" t="str">
        <f t="shared" si="21"/>
        <v>1-2km</v>
      </c>
      <c r="H90" s="43" t="s">
        <v>211</v>
      </c>
      <c r="I90" s="43">
        <v>60</v>
      </c>
      <c r="J90" s="44">
        <v>168</v>
      </c>
      <c r="K90" s="44" t="str">
        <f t="shared" si="22"/>
        <v>Econômico</v>
      </c>
      <c r="L90" s="43" t="s">
        <v>215</v>
      </c>
      <c r="M90" s="43" t="s">
        <v>218</v>
      </c>
      <c r="N90" s="43" t="s">
        <v>220</v>
      </c>
      <c r="O90" s="43">
        <v>4</v>
      </c>
      <c r="P90" s="45">
        <f>(Tabela1[Avaliação Média (0-5)] * 20) / Tabela1[Preço Médio da Diária (R$)] * 10</f>
        <v>4.7619047619047619</v>
      </c>
      <c r="Q90" s="42" t="str">
        <f t="shared" si="17"/>
        <v>Bom</v>
      </c>
      <c r="R90" s="43">
        <v>3</v>
      </c>
      <c r="S90" s="46" t="s">
        <v>1052</v>
      </c>
      <c r="T90" s="43">
        <f t="shared" si="18"/>
        <v>1</v>
      </c>
      <c r="U90" s="46">
        <f t="shared" si="19"/>
        <v>1</v>
      </c>
      <c r="V90" s="46">
        <f>IF(OR(ISNUMBER(FIND("café da manhã",S90)), ISNUMBER(FIND("café da manha",O90)), ISNUMBER(FIND("cafe da manha",S90)), ISNUMBER(FIND("café da amanhã incluído",S90))), 1, 0)</f>
        <v>1</v>
      </c>
      <c r="W90" s="46">
        <f>IF(OR(ISNUMBER(FIND("estacionamento",S90)),ISNUMBER(FIND("estaciona",S90))), 1, 0)</f>
        <v>0</v>
      </c>
      <c r="X90" s="43">
        <f>IF(OR(ISNUMBER(FIND("serviço de quarto",S90)), ISNUMBER(FIND("servico de quarto",O90)), ISNUMBER(FIND("room service",S90))), 1, 0)</f>
        <v>1</v>
      </c>
      <c r="Y90" s="43">
        <f>IF(OR(ISNUMBER(FIND("restaurante",S90)), ISNUMBER(FIND("bar",S90))), 1, 0)</f>
        <v>0</v>
      </c>
      <c r="Z90" s="43">
        <f>IF(OR(ISNUMBER(FIND("academia",S90)), ISNUMBER(FIND("fitness",S90)), ISNUMBER(FIND("ginásio",S90))), 1, 0)</f>
        <v>0</v>
      </c>
      <c r="AA90" s="43">
        <f>IF(ISNUMBER(FIND("piscina",S90)), 1, 0)</f>
        <v>0</v>
      </c>
      <c r="AB90" s="43">
        <f>IF(OR(ISNUMBER(FIND("acessível",S90)),ISNUMBER(FIND("deficiência",S90)), ISNUMBER(FIND("cadeirante",S90)), ISNUMBER(FIND("PCD",S90))), 1, 0)</f>
        <v>1</v>
      </c>
      <c r="AC90" s="43">
        <f t="shared" si="20"/>
        <v>1</v>
      </c>
      <c r="AD90" s="46" t="s">
        <v>335</v>
      </c>
      <c r="AE90" s="43" t="s">
        <v>437</v>
      </c>
      <c r="AF90" s="43" t="s">
        <v>497</v>
      </c>
      <c r="AG90" s="43" t="s">
        <v>1064</v>
      </c>
      <c r="AH90" s="39" t="s">
        <v>527</v>
      </c>
      <c r="AI90" s="48" t="s">
        <v>529</v>
      </c>
    </row>
    <row r="91" spans="1:35" ht="18" thickBot="1" x14ac:dyDescent="0.4">
      <c r="A91" s="38" t="s">
        <v>107</v>
      </c>
      <c r="B91" s="39" t="s">
        <v>612</v>
      </c>
      <c r="C91" s="39" t="s">
        <v>197</v>
      </c>
      <c r="D91" s="43" t="s">
        <v>840</v>
      </c>
      <c r="E91" s="50" t="s">
        <v>839</v>
      </c>
      <c r="F91" s="42">
        <v>1</v>
      </c>
      <c r="G91" s="42" t="str">
        <f t="shared" si="21"/>
        <v>1-2km</v>
      </c>
      <c r="H91" s="43" t="s">
        <v>211</v>
      </c>
      <c r="I91" s="43">
        <v>74</v>
      </c>
      <c r="J91" s="44">
        <v>250</v>
      </c>
      <c r="K91" s="44" t="str">
        <f t="shared" si="22"/>
        <v>Médio</v>
      </c>
      <c r="L91" s="43" t="s">
        <v>215</v>
      </c>
      <c r="M91" s="43" t="s">
        <v>218</v>
      </c>
      <c r="N91" s="43" t="s">
        <v>220</v>
      </c>
      <c r="O91" s="43">
        <v>4.2</v>
      </c>
      <c r="P91" s="45">
        <f>(Tabela1[Avaliação Média (0-5)] * 20) / Tabela1[Preço Médio da Diária (R$)] * 10</f>
        <v>3.3600000000000003</v>
      </c>
      <c r="Q91" s="42" t="str">
        <f t="shared" si="17"/>
        <v>Regular</v>
      </c>
      <c r="R91" s="43">
        <v>3</v>
      </c>
      <c r="S91" s="46" t="s">
        <v>1053</v>
      </c>
      <c r="T91" s="43">
        <f t="shared" si="18"/>
        <v>1</v>
      </c>
      <c r="U91" s="46">
        <f t="shared" si="19"/>
        <v>1</v>
      </c>
      <c r="V91" s="46">
        <f>IF(OR(ISNUMBER(FIND("café da manhã",S91)), ISNUMBER(FIND("café da manha",O91)), ISNUMBER(FIND("cafe da manha",S91)), ISNUMBER(FIND("café da amanhã incluído",S91))), 1, 0)</f>
        <v>1</v>
      </c>
      <c r="W91" s="46">
        <f>IF(OR(ISNUMBER(FIND("estacionamento",S91)),ISNUMBER(FIND("estaciona",S91))), 1, 0)</f>
        <v>1</v>
      </c>
      <c r="X91" s="43">
        <f>IF(OR(ISNUMBER(FIND("serviço de quarto",S91)), ISNUMBER(FIND("servico de quarto",O91)), ISNUMBER(FIND("room service",S91))), 1, 0)</f>
        <v>0</v>
      </c>
      <c r="Y91" s="43">
        <f>IF(OR(ISNUMBER(FIND("restaurante",S91)), ISNUMBER(FIND("bar",S91))), 1, 0)</f>
        <v>0</v>
      </c>
      <c r="Z91" s="43">
        <f>IF(OR(ISNUMBER(FIND("academia",S91)), ISNUMBER(FIND("fitness",S91)), ISNUMBER(FIND("ginásio",S91))), 1, 0)</f>
        <v>0</v>
      </c>
      <c r="AA91" s="43">
        <f>IF(ISNUMBER(FIND("piscina",S91)), 1, 0)</f>
        <v>0</v>
      </c>
      <c r="AB91" s="43">
        <f>IF(OR(ISNUMBER(FIND("acessível",S91)),ISNUMBER(FIND("deficiência",S91)), ISNUMBER(FIND("cadeirante",S91)), ISNUMBER(FIND("PCD",S91))), 1, 0)</f>
        <v>1</v>
      </c>
      <c r="AC91" s="43">
        <f t="shared" si="20"/>
        <v>1</v>
      </c>
      <c r="AD91" s="46" t="s">
        <v>336</v>
      </c>
      <c r="AE91" s="43" t="s">
        <v>437</v>
      </c>
      <c r="AF91" s="43" t="s">
        <v>497</v>
      </c>
      <c r="AG91" s="43" t="s">
        <v>1064</v>
      </c>
      <c r="AH91" s="39" t="s">
        <v>527</v>
      </c>
      <c r="AI91" s="48" t="s">
        <v>529</v>
      </c>
    </row>
    <row r="92" spans="1:35" ht="18" thickBot="1" x14ac:dyDescent="0.4">
      <c r="A92" s="38" t="s">
        <v>108</v>
      </c>
      <c r="B92" s="39" t="s">
        <v>613</v>
      </c>
      <c r="C92" s="39" t="s">
        <v>197</v>
      </c>
      <c r="D92" s="43" t="s">
        <v>796</v>
      </c>
      <c r="E92" s="50" t="s">
        <v>841</v>
      </c>
      <c r="F92" s="42">
        <v>0.8</v>
      </c>
      <c r="G92" s="42" t="str">
        <f t="shared" si="21"/>
        <v>Até 1km</v>
      </c>
      <c r="H92" s="43" t="s">
        <v>211</v>
      </c>
      <c r="I92" s="43">
        <v>22</v>
      </c>
      <c r="J92" s="44">
        <v>330</v>
      </c>
      <c r="K92" s="44" t="str">
        <f t="shared" si="22"/>
        <v>Médio</v>
      </c>
      <c r="L92" s="43" t="s">
        <v>215</v>
      </c>
      <c r="M92" s="43" t="s">
        <v>225</v>
      </c>
      <c r="N92" s="43" t="s">
        <v>217</v>
      </c>
      <c r="O92" s="43">
        <v>4.3</v>
      </c>
      <c r="P92" s="45">
        <f>(Tabela1[Avaliação Média (0-5)] * 20) / Tabela1[Preço Médio da Diária (R$)] * 10</f>
        <v>2.6060606060606064</v>
      </c>
      <c r="Q92" s="42" t="str">
        <f t="shared" si="17"/>
        <v>Regular</v>
      </c>
      <c r="R92" s="43">
        <v>3</v>
      </c>
      <c r="S92" s="46" t="s">
        <v>1011</v>
      </c>
      <c r="T92" s="43">
        <f t="shared" si="18"/>
        <v>1</v>
      </c>
      <c r="U92" s="46">
        <f t="shared" si="19"/>
        <v>1</v>
      </c>
      <c r="V92" s="46">
        <f>IF(OR(ISNUMBER(FIND("café da manhã",S92)), ISNUMBER(FIND("café da manha",O92)), ISNUMBER(FIND("cafe da manha",S92)), ISNUMBER(FIND("café da amanhã incluído",S92))), 1, 0)</f>
        <v>1</v>
      </c>
      <c r="W92" s="46">
        <f>IF(OR(ISNUMBER(FIND("estacionamento",S92)),ISNUMBER(FIND("estaciona",S92))), 1, 0)</f>
        <v>0</v>
      </c>
      <c r="X92" s="43">
        <f>IF(OR(ISNUMBER(FIND("serviço de quarto",S92)), ISNUMBER(FIND("servico de quarto",O92)), ISNUMBER(FIND("room service",S92))), 1, 0)</f>
        <v>1</v>
      </c>
      <c r="Y92" s="43">
        <f>IF(OR(ISNUMBER(FIND("restaurante",S92)), ISNUMBER(FIND("bar",S92))), 1, 0)</f>
        <v>0</v>
      </c>
      <c r="Z92" s="43">
        <f>IF(OR(ISNUMBER(FIND("academia",S92)), ISNUMBER(FIND("fitness",S92)), ISNUMBER(FIND("ginásio",S92))), 1, 0)</f>
        <v>0</v>
      </c>
      <c r="AA92" s="43">
        <f>IF(ISNUMBER(FIND("piscina",S92)), 1, 0)</f>
        <v>0</v>
      </c>
      <c r="AB92" s="43">
        <f>IF(OR(ISNUMBER(FIND("acessível",S92)),ISNUMBER(FIND("deficiência",S92)), ISNUMBER(FIND("cadeirante",S92)), ISNUMBER(FIND("PCD",S92))), 1, 0)</f>
        <v>0</v>
      </c>
      <c r="AC92" s="43">
        <f t="shared" si="20"/>
        <v>1</v>
      </c>
      <c r="AD92" s="46" t="s">
        <v>337</v>
      </c>
      <c r="AE92" s="43" t="s">
        <v>438</v>
      </c>
      <c r="AF92" s="43" t="s">
        <v>498</v>
      </c>
      <c r="AG92" s="43" t="s">
        <v>1064</v>
      </c>
      <c r="AH92" s="39" t="s">
        <v>527</v>
      </c>
      <c r="AI92" s="48" t="s">
        <v>529</v>
      </c>
    </row>
    <row r="93" spans="1:35" ht="18" thickBot="1" x14ac:dyDescent="0.4">
      <c r="A93" s="38" t="s">
        <v>109</v>
      </c>
      <c r="B93" s="39" t="s">
        <v>614</v>
      </c>
      <c r="C93" s="39" t="s">
        <v>187</v>
      </c>
      <c r="D93" s="43" t="s">
        <v>842</v>
      </c>
      <c r="E93" s="50" t="s">
        <v>843</v>
      </c>
      <c r="F93" s="42">
        <v>1.3</v>
      </c>
      <c r="G93" s="42" t="str">
        <f t="shared" si="21"/>
        <v>1-2km</v>
      </c>
      <c r="H93" s="43" t="s">
        <v>211</v>
      </c>
      <c r="I93" s="43">
        <v>30</v>
      </c>
      <c r="J93" s="44">
        <v>205</v>
      </c>
      <c r="K93" s="44" t="str">
        <f t="shared" si="22"/>
        <v>Médio</v>
      </c>
      <c r="L93" s="43" t="s">
        <v>215</v>
      </c>
      <c r="M93" s="43" t="s">
        <v>217</v>
      </c>
      <c r="N93" s="43" t="s">
        <v>220</v>
      </c>
      <c r="O93" s="43">
        <v>4.5</v>
      </c>
      <c r="P93" s="45">
        <f>(Tabela1[Avaliação Média (0-5)] * 20) / Tabela1[Preço Médio da Diária (R$)] * 10</f>
        <v>4.3902439024390247</v>
      </c>
      <c r="Q93" s="42" t="str">
        <f t="shared" si="17"/>
        <v>Bom</v>
      </c>
      <c r="R93" s="43">
        <v>3</v>
      </c>
      <c r="S93" s="46" t="s">
        <v>237</v>
      </c>
      <c r="T93" s="43">
        <f t="shared" si="18"/>
        <v>1</v>
      </c>
      <c r="U93" s="46">
        <f t="shared" si="19"/>
        <v>1</v>
      </c>
      <c r="V93" s="46">
        <f>IF(OR(ISNUMBER(FIND("café da manhã",S93)), ISNUMBER(FIND("café da manha",O93)), ISNUMBER(FIND("cafe da manha",S93)), ISNUMBER(FIND("café da amanhã incluído",S93))), 1, 0)</f>
        <v>0</v>
      </c>
      <c r="W93" s="46">
        <f>IF(OR(ISNUMBER(FIND("estacionamento",S93)),ISNUMBER(FIND("estaciona",S93))), 1, 0)</f>
        <v>0</v>
      </c>
      <c r="X93" s="43">
        <f>IF(OR(ISNUMBER(FIND("serviço de quarto",S93)), ISNUMBER(FIND("servico de quarto",O93)), ISNUMBER(FIND("room service",S93))), 1, 0)</f>
        <v>0</v>
      </c>
      <c r="Y93" s="43">
        <f>IF(OR(ISNUMBER(FIND("restaurante",S93)), ISNUMBER(FIND("bar",S93))), 1, 0)</f>
        <v>0</v>
      </c>
      <c r="Z93" s="43">
        <f>IF(OR(ISNUMBER(FIND("academia",S93)), ISNUMBER(FIND("fitness",S93)), ISNUMBER(FIND("ginásio",S93))), 1, 0)</f>
        <v>0</v>
      </c>
      <c r="AA93" s="43">
        <f>IF(ISNUMBER(FIND("piscina",S93)), 1, 0)</f>
        <v>0</v>
      </c>
      <c r="AB93" s="43">
        <f>IF(OR(ISNUMBER(FIND("acessível",S93)),ISNUMBER(FIND("deficiência",S93)), ISNUMBER(FIND("cadeirante",S93)), ISNUMBER(FIND("PCD",S93))), 1, 0)</f>
        <v>0</v>
      </c>
      <c r="AC93" s="43">
        <f t="shared" si="20"/>
        <v>1</v>
      </c>
      <c r="AD93" s="46" t="s">
        <v>338</v>
      </c>
      <c r="AE93" s="43" t="s">
        <v>439</v>
      </c>
      <c r="AF93" s="43" t="s">
        <v>499</v>
      </c>
      <c r="AG93" s="43" t="s">
        <v>1064</v>
      </c>
      <c r="AH93" s="39" t="s">
        <v>527</v>
      </c>
      <c r="AI93" s="48" t="s">
        <v>529</v>
      </c>
    </row>
    <row r="94" spans="1:35" ht="18" thickBot="1" x14ac:dyDescent="0.4">
      <c r="A94" s="38" t="s">
        <v>110</v>
      </c>
      <c r="B94" s="39" t="s">
        <v>615</v>
      </c>
      <c r="C94" s="39" t="s">
        <v>194</v>
      </c>
      <c r="D94" s="43" t="s">
        <v>844</v>
      </c>
      <c r="E94" s="50" t="s">
        <v>845</v>
      </c>
      <c r="F94" s="42">
        <v>1.6</v>
      </c>
      <c r="G94" s="42" t="str">
        <f t="shared" si="21"/>
        <v>1-2km</v>
      </c>
      <c r="H94" s="43" t="s">
        <v>211</v>
      </c>
      <c r="I94" s="43">
        <v>36</v>
      </c>
      <c r="J94" s="44">
        <v>265</v>
      </c>
      <c r="K94" s="44" t="str">
        <f t="shared" si="22"/>
        <v>Médio</v>
      </c>
      <c r="L94" s="43" t="s">
        <v>215</v>
      </c>
      <c r="M94" s="43" t="s">
        <v>218</v>
      </c>
      <c r="N94" s="43" t="s">
        <v>220</v>
      </c>
      <c r="O94" s="43">
        <v>3.8</v>
      </c>
      <c r="P94" s="45">
        <f>(Tabela1[Avaliação Média (0-5)] * 20) / Tabela1[Preço Médio da Diária (R$)] * 10</f>
        <v>2.8679245283018866</v>
      </c>
      <c r="Q94" s="42" t="str">
        <f t="shared" si="17"/>
        <v>Regular</v>
      </c>
      <c r="R94" s="43">
        <v>3</v>
      </c>
      <c r="S94" s="46" t="s">
        <v>988</v>
      </c>
      <c r="T94" s="43">
        <f t="shared" si="18"/>
        <v>1</v>
      </c>
      <c r="U94" s="46">
        <f t="shared" si="19"/>
        <v>1</v>
      </c>
      <c r="V94" s="46">
        <f>IF(OR(ISNUMBER(FIND("café da manhã",S94)), ISNUMBER(FIND("café da manha",O94)), ISNUMBER(FIND("cafe da manha",S94)), ISNUMBER(FIND("café da amanhã incluído",S94))), 1, 0)</f>
        <v>0</v>
      </c>
      <c r="W94" s="46">
        <f>IF(OR(ISNUMBER(FIND("estacionamento",S94)),ISNUMBER(FIND("estaciona",S94))), 1, 0)</f>
        <v>1</v>
      </c>
      <c r="X94" s="43">
        <f>IF(OR(ISNUMBER(FIND("serviço de quarto",S94)), ISNUMBER(FIND("servico de quarto",O94)), ISNUMBER(FIND("room service",S94))), 1, 0)</f>
        <v>0</v>
      </c>
      <c r="Y94" s="43">
        <f>IF(OR(ISNUMBER(FIND("restaurante",S94)), ISNUMBER(FIND("bar",S94))), 1, 0)</f>
        <v>0</v>
      </c>
      <c r="Z94" s="43">
        <f>IF(OR(ISNUMBER(FIND("academia",S94)), ISNUMBER(FIND("fitness",S94)), ISNUMBER(FIND("ginásio",S94))), 1, 0)</f>
        <v>0</v>
      </c>
      <c r="AA94" s="43">
        <f>IF(ISNUMBER(FIND("piscina",S94)), 1, 0)</f>
        <v>0</v>
      </c>
      <c r="AB94" s="43">
        <f>IF(OR(ISNUMBER(FIND("acessível",S94)),ISNUMBER(FIND("deficiência",S94)), ISNUMBER(FIND("cadeirante",S94)), ISNUMBER(FIND("PCD",S94))), 1, 0)</f>
        <v>0</v>
      </c>
      <c r="AC94" s="43">
        <f t="shared" si="20"/>
        <v>1</v>
      </c>
      <c r="AD94" s="46" t="s">
        <v>339</v>
      </c>
      <c r="AE94" s="43" t="s">
        <v>439</v>
      </c>
      <c r="AF94" s="43" t="s">
        <v>497</v>
      </c>
      <c r="AG94" s="43" t="s">
        <v>1064</v>
      </c>
      <c r="AH94" s="39" t="s">
        <v>527</v>
      </c>
      <c r="AI94" s="48" t="s">
        <v>529</v>
      </c>
    </row>
    <row r="95" spans="1:35" ht="18" thickBot="1" x14ac:dyDescent="0.4">
      <c r="A95" s="38" t="s">
        <v>111</v>
      </c>
      <c r="B95" s="39" t="s">
        <v>616</v>
      </c>
      <c r="C95" s="39" t="s">
        <v>194</v>
      </c>
      <c r="D95" s="43" t="s">
        <v>846</v>
      </c>
      <c r="E95" s="50" t="s">
        <v>847</v>
      </c>
      <c r="F95" s="42">
        <v>1.7</v>
      </c>
      <c r="G95" s="42" t="str">
        <f t="shared" si="21"/>
        <v>1-2km</v>
      </c>
      <c r="H95" s="43" t="s">
        <v>211</v>
      </c>
      <c r="I95" s="43">
        <v>16</v>
      </c>
      <c r="J95" s="44">
        <v>140</v>
      </c>
      <c r="K95" s="44" t="str">
        <f t="shared" si="22"/>
        <v>Econômico</v>
      </c>
      <c r="L95" s="43" t="s">
        <v>215</v>
      </c>
      <c r="M95" s="43" t="s">
        <v>218</v>
      </c>
      <c r="N95" s="43" t="s">
        <v>220</v>
      </c>
      <c r="O95" s="43">
        <v>3.7</v>
      </c>
      <c r="P95" s="45">
        <f>(Tabela1[Avaliação Média (0-5)] * 20) / Tabela1[Preço Médio da Diária (R$)] * 10</f>
        <v>5.2857142857142856</v>
      </c>
      <c r="Q95" s="42" t="str">
        <f t="shared" si="17"/>
        <v>Bom</v>
      </c>
      <c r="R95" s="43">
        <v>3</v>
      </c>
      <c r="S95" s="46" t="s">
        <v>238</v>
      </c>
      <c r="T95" s="43">
        <f t="shared" si="18"/>
        <v>1</v>
      </c>
      <c r="U95" s="46">
        <f t="shared" si="19"/>
        <v>1</v>
      </c>
      <c r="V95" s="46">
        <f>IF(OR(ISNUMBER(FIND("café da manhã",S95)), ISNUMBER(FIND("café da manha",O95)), ISNUMBER(FIND("cafe da manha",S95)), ISNUMBER(FIND("café da amanhã incluído",S95))), 1, 0)</f>
        <v>0</v>
      </c>
      <c r="W95" s="46">
        <f>IF(OR(ISNUMBER(FIND("estacionamento",S95)),ISNUMBER(FIND("estaciona",S95))), 1, 0)</f>
        <v>0</v>
      </c>
      <c r="X95" s="43">
        <f>IF(OR(ISNUMBER(FIND("serviço de quarto",S95)), ISNUMBER(FIND("servico de quarto",O95)), ISNUMBER(FIND("room service",S95))), 1, 0)</f>
        <v>0</v>
      </c>
      <c r="Y95" s="43">
        <f>IF(OR(ISNUMBER(FIND("restaurante",S95)), ISNUMBER(FIND("bar",S95))), 1, 0)</f>
        <v>0</v>
      </c>
      <c r="Z95" s="43">
        <f>IF(OR(ISNUMBER(FIND("academia",S95)), ISNUMBER(FIND("fitness",S95)), ISNUMBER(FIND("ginásio",S95))), 1, 0)</f>
        <v>0</v>
      </c>
      <c r="AA95" s="43">
        <f>IF(ISNUMBER(FIND("piscina",S95)), 1, 0)</f>
        <v>0</v>
      </c>
      <c r="AB95" s="43">
        <f>IF(OR(ISNUMBER(FIND("acessível",S95)),ISNUMBER(FIND("deficiência",S95)), ISNUMBER(FIND("cadeirante",S95)), ISNUMBER(FIND("PCD",S95))), 1, 0)</f>
        <v>0</v>
      </c>
      <c r="AC95" s="43">
        <f t="shared" si="20"/>
        <v>1</v>
      </c>
      <c r="AD95" s="46" t="s">
        <v>340</v>
      </c>
      <c r="AE95" s="43" t="s">
        <v>440</v>
      </c>
      <c r="AF95" s="43" t="s">
        <v>496</v>
      </c>
      <c r="AG95" s="43" t="s">
        <v>1064</v>
      </c>
      <c r="AH95" s="39" t="s">
        <v>527</v>
      </c>
      <c r="AI95" s="48" t="s">
        <v>529</v>
      </c>
    </row>
    <row r="96" spans="1:35" ht="18" thickBot="1" x14ac:dyDescent="0.4">
      <c r="A96" s="38" t="s">
        <v>112</v>
      </c>
      <c r="B96" s="39" t="s">
        <v>617</v>
      </c>
      <c r="C96" s="39" t="s">
        <v>189</v>
      </c>
      <c r="D96" s="43" t="s">
        <v>848</v>
      </c>
      <c r="E96" s="50" t="s">
        <v>849</v>
      </c>
      <c r="F96" s="42">
        <v>2.7</v>
      </c>
      <c r="G96" s="42" t="str">
        <f t="shared" si="21"/>
        <v>2-3km</v>
      </c>
      <c r="H96" s="43" t="s">
        <v>211</v>
      </c>
      <c r="I96" s="43">
        <v>150</v>
      </c>
      <c r="J96" s="44">
        <v>278</v>
      </c>
      <c r="K96" s="44" t="str">
        <f t="shared" si="22"/>
        <v>Médio</v>
      </c>
      <c r="L96" s="43" t="s">
        <v>215</v>
      </c>
      <c r="M96" s="43" t="s">
        <v>218</v>
      </c>
      <c r="N96" s="43" t="s">
        <v>220</v>
      </c>
      <c r="O96" s="43">
        <v>3.5</v>
      </c>
      <c r="P96" s="45">
        <f>(Tabela1[Avaliação Média (0-5)] * 20) / Tabela1[Preço Médio da Diária (R$)] * 10</f>
        <v>2.5179856115107913</v>
      </c>
      <c r="Q96" s="42" t="str">
        <f t="shared" si="17"/>
        <v>Regular</v>
      </c>
      <c r="R96" s="43">
        <v>3</v>
      </c>
      <c r="S96" s="46" t="s">
        <v>1054</v>
      </c>
      <c r="T96" s="43">
        <f t="shared" si="18"/>
        <v>1</v>
      </c>
      <c r="U96" s="46">
        <f t="shared" si="19"/>
        <v>1</v>
      </c>
      <c r="V96" s="46">
        <f>IF(OR(ISNUMBER(FIND("café da manhã",S96)), ISNUMBER(FIND("café da manha",O96)), ISNUMBER(FIND("cafe da manha",S96)), ISNUMBER(FIND("café da amanhã incluído",S96))), 1, 0)</f>
        <v>0</v>
      </c>
      <c r="W96" s="46">
        <f>IF(OR(ISNUMBER(FIND("estacionamento",S96)),ISNUMBER(FIND("estaciona",S96))), 1, 0)</f>
        <v>0</v>
      </c>
      <c r="X96" s="43">
        <f>IF(OR(ISNUMBER(FIND("serviço de quarto",S96)), ISNUMBER(FIND("servico de quarto",O96)), ISNUMBER(FIND("room service",S96))), 1, 0)</f>
        <v>0</v>
      </c>
      <c r="Y96" s="43">
        <f>IF(OR(ISNUMBER(FIND("restaurante",S96)), ISNUMBER(FIND("bar",S96))), 1, 0)</f>
        <v>0</v>
      </c>
      <c r="Z96" s="43">
        <f>IF(OR(ISNUMBER(FIND("academia",S96)), ISNUMBER(FIND("fitness",S96)), ISNUMBER(FIND("ginásio",S96))), 1, 0)</f>
        <v>0</v>
      </c>
      <c r="AA96" s="43">
        <f>IF(ISNUMBER(FIND("piscina",S96)), 1, 0)</f>
        <v>0</v>
      </c>
      <c r="AB96" s="43">
        <f>IF(OR(ISNUMBER(FIND("acessível",S96)),ISNUMBER(FIND("deficiência",S96)), ISNUMBER(FIND("cadeirante",S96)), ISNUMBER(FIND("PCD",S96))), 1, 0)</f>
        <v>1</v>
      </c>
      <c r="AC96" s="43">
        <f t="shared" si="20"/>
        <v>1</v>
      </c>
      <c r="AD96" s="46" t="s">
        <v>341</v>
      </c>
      <c r="AE96" s="43" t="s">
        <v>341</v>
      </c>
      <c r="AF96" s="43" t="s">
        <v>497</v>
      </c>
      <c r="AG96" s="43" t="s">
        <v>1067</v>
      </c>
      <c r="AH96" s="39" t="s">
        <v>528</v>
      </c>
      <c r="AI96" s="48" t="s">
        <v>540</v>
      </c>
    </row>
    <row r="97" spans="1:35" ht="18" thickBot="1" x14ac:dyDescent="0.4">
      <c r="A97" s="38" t="s">
        <v>113</v>
      </c>
      <c r="B97" s="39" t="s">
        <v>618</v>
      </c>
      <c r="C97" s="39" t="s">
        <v>181</v>
      </c>
      <c r="D97" s="43" t="s">
        <v>850</v>
      </c>
      <c r="E97" s="50" t="s">
        <v>851</v>
      </c>
      <c r="F97" s="42">
        <v>2.6</v>
      </c>
      <c r="G97" s="42" t="str">
        <f t="shared" si="21"/>
        <v>2-3km</v>
      </c>
      <c r="H97" s="43" t="s">
        <v>211</v>
      </c>
      <c r="I97" s="43">
        <v>6</v>
      </c>
      <c r="J97" s="44">
        <v>133</v>
      </c>
      <c r="K97" s="44" t="str">
        <f t="shared" si="22"/>
        <v>Econômico</v>
      </c>
      <c r="L97" s="43" t="s">
        <v>215</v>
      </c>
      <c r="M97" s="43" t="s">
        <v>218</v>
      </c>
      <c r="N97" s="43" t="s">
        <v>220</v>
      </c>
      <c r="O97" s="43">
        <v>3.7</v>
      </c>
      <c r="P97" s="45">
        <f>(Tabela1[Avaliação Média (0-5)] * 20) / Tabela1[Preço Médio da Diária (R$)] * 10</f>
        <v>5.5639097744360901</v>
      </c>
      <c r="Q97" s="42" t="str">
        <f t="shared" si="17"/>
        <v>Bom</v>
      </c>
      <c r="R97" s="43">
        <v>3</v>
      </c>
      <c r="S97" s="46" t="s">
        <v>1012</v>
      </c>
      <c r="T97" s="43">
        <f t="shared" si="18"/>
        <v>1</v>
      </c>
      <c r="U97" s="46">
        <f t="shared" si="19"/>
        <v>1</v>
      </c>
      <c r="V97" s="46">
        <f>IF(OR(ISNUMBER(FIND("café da manhã",S97)), ISNUMBER(FIND("café da manha",O97)), ISNUMBER(FIND("cafe da manha",S97)), ISNUMBER(FIND("café da amanhã incluído",S97))), 1, 0)</f>
        <v>0</v>
      </c>
      <c r="W97" s="46">
        <f>IF(OR(ISNUMBER(FIND("estacionamento",S97)),ISNUMBER(FIND("estaciona",S97))), 1, 0)</f>
        <v>0</v>
      </c>
      <c r="X97" s="43">
        <f>IF(OR(ISNUMBER(FIND("serviço de quarto",S97)), ISNUMBER(FIND("servico de quarto",O97)), ISNUMBER(FIND("room service",S97))), 1, 0)</f>
        <v>1</v>
      </c>
      <c r="Y97" s="43">
        <f>IF(OR(ISNUMBER(FIND("restaurante",S97)), ISNUMBER(FIND("bar",S97))), 1, 0)</f>
        <v>0</v>
      </c>
      <c r="Z97" s="43">
        <f>IF(OR(ISNUMBER(FIND("academia",S97)), ISNUMBER(FIND("fitness",S97)), ISNUMBER(FIND("ginásio",S97))), 1, 0)</f>
        <v>0</v>
      </c>
      <c r="AA97" s="43">
        <f>IF(ISNUMBER(FIND("piscina",S97)), 1, 0)</f>
        <v>0</v>
      </c>
      <c r="AB97" s="43">
        <f>IF(OR(ISNUMBER(FIND("acessível",S97)),ISNUMBER(FIND("deficiência",S97)), ISNUMBER(FIND("cadeirante",S97)), ISNUMBER(FIND("PCD",S97))), 1, 0)</f>
        <v>0</v>
      </c>
      <c r="AC97" s="43">
        <f t="shared" si="20"/>
        <v>1</v>
      </c>
      <c r="AD97" s="46" t="s">
        <v>342</v>
      </c>
      <c r="AE97" s="43" t="s">
        <v>441</v>
      </c>
      <c r="AF97" s="43" t="s">
        <v>488</v>
      </c>
      <c r="AG97" s="43" t="s">
        <v>1064</v>
      </c>
      <c r="AH97" s="39" t="s">
        <v>527</v>
      </c>
      <c r="AI97" s="48" t="s">
        <v>529</v>
      </c>
    </row>
    <row r="98" spans="1:35" ht="18" thickBot="1" x14ac:dyDescent="0.4">
      <c r="A98" s="38" t="s">
        <v>114</v>
      </c>
      <c r="B98" s="39" t="s">
        <v>619</v>
      </c>
      <c r="C98" s="39" t="s">
        <v>189</v>
      </c>
      <c r="D98" s="43" t="s">
        <v>852</v>
      </c>
      <c r="E98" s="50" t="s">
        <v>853</v>
      </c>
      <c r="F98" s="42">
        <v>2.7</v>
      </c>
      <c r="G98" s="42" t="str">
        <f t="shared" si="21"/>
        <v>2-3km</v>
      </c>
      <c r="H98" s="43" t="s">
        <v>211</v>
      </c>
      <c r="I98" s="43">
        <v>57</v>
      </c>
      <c r="J98" s="44">
        <v>400</v>
      </c>
      <c r="K98" s="44" t="str">
        <f t="shared" si="22"/>
        <v>Alto</v>
      </c>
      <c r="L98" s="43" t="s">
        <v>215</v>
      </c>
      <c r="M98" s="43" t="s">
        <v>217</v>
      </c>
      <c r="N98" s="43" t="s">
        <v>220</v>
      </c>
      <c r="O98" s="43">
        <v>4</v>
      </c>
      <c r="P98" s="45">
        <f>(Tabela1[Avaliação Média (0-5)] * 20) / Tabela1[Preço Médio da Diária (R$)] * 10</f>
        <v>2</v>
      </c>
      <c r="Q98" s="42" t="str">
        <f t="shared" ref="Q98:Q129" si="25">IF(P98&lt;=2,"Baixo",IF(P98&lt;=4,"Regular",IF(P98&lt;=6,"Bom","Excelente")))</f>
        <v>Baixo</v>
      </c>
      <c r="R98" s="43">
        <v>3</v>
      </c>
      <c r="S98" s="46" t="s">
        <v>1013</v>
      </c>
      <c r="T98" s="43">
        <f t="shared" ref="T98:T129" si="26">IF(OR(ISNUMBER(FIND("Wi-fi",S98)), ISNUMBER(FIND("Wi-Fi",S98)), ISNUMBER(FIND("Wifi",S98))), 1, 0)</f>
        <v>1</v>
      </c>
      <c r="U98" s="46">
        <f t="shared" ref="U98:U129" si="27">IF(OR(ISNUMBER(FIND("Ar condicionado",S98)), ISNUMBER(FIND("Ar-condicionado",S98)), ISNUMBER(FIND("ar cond",S98))), 1, 0)</f>
        <v>1</v>
      </c>
      <c r="V98" s="46">
        <f>IF(OR(ISNUMBER(FIND("café da manhã",S98)), ISNUMBER(FIND("café da manha",O98)), ISNUMBER(FIND("cafe da manha",S98)), ISNUMBER(FIND("café da amanhã incluído",S98))), 1, 0)</f>
        <v>0</v>
      </c>
      <c r="W98" s="46">
        <f>IF(OR(ISNUMBER(FIND("estacionamento",S98)),ISNUMBER(FIND("estaciona",S98))), 1, 0)</f>
        <v>1</v>
      </c>
      <c r="X98" s="43">
        <f>IF(OR(ISNUMBER(FIND("serviço de quarto",S98)), ISNUMBER(FIND("servico de quarto",O98)), ISNUMBER(FIND("room service",S98))), 1, 0)</f>
        <v>1</v>
      </c>
      <c r="Y98" s="43">
        <f>IF(OR(ISNUMBER(FIND("restaurante",S98)), ISNUMBER(FIND("bar",S98))), 1, 0)</f>
        <v>0</v>
      </c>
      <c r="Z98" s="43">
        <f>IF(OR(ISNUMBER(FIND("academia",S98)), ISNUMBER(FIND("fitness",S98)), ISNUMBER(FIND("ginásio",S98))), 1, 0)</f>
        <v>0</v>
      </c>
      <c r="AA98" s="43">
        <f>IF(ISNUMBER(FIND("piscina",S98)), 1, 0)</f>
        <v>0</v>
      </c>
      <c r="AB98" s="43">
        <f>IF(OR(ISNUMBER(FIND("acessível",S98)),ISNUMBER(FIND("deficiência",S98)), ISNUMBER(FIND("cadeirante",S98)), ISNUMBER(FIND("PCD",S98))), 1, 0)</f>
        <v>0</v>
      </c>
      <c r="AC98" s="43">
        <f t="shared" ref="AC98:AC129" si="28">IF(OR(ISNUMBER(FIND("aceita pet",AG98)), ISNUMBER(FIND("permite pet",O98)), ISNUMBER(FIND("animais",AG98)), ISNUMBER(FIND("pet friendly",AG98))), 1, 0)</f>
        <v>1</v>
      </c>
      <c r="AD98" s="46" t="s">
        <v>343</v>
      </c>
      <c r="AE98" s="43" t="s">
        <v>442</v>
      </c>
      <c r="AF98" s="43" t="s">
        <v>488</v>
      </c>
      <c r="AG98" s="43" t="s">
        <v>1064</v>
      </c>
      <c r="AH98" s="39" t="s">
        <v>527</v>
      </c>
      <c r="AI98" s="48" t="s">
        <v>529</v>
      </c>
    </row>
    <row r="99" spans="1:35" ht="18" thickBot="1" x14ac:dyDescent="0.4">
      <c r="A99" s="38" t="s">
        <v>115</v>
      </c>
      <c r="B99" s="39" t="s">
        <v>620</v>
      </c>
      <c r="C99" s="39" t="s">
        <v>189</v>
      </c>
      <c r="D99" s="43" t="s">
        <v>854</v>
      </c>
      <c r="E99" s="50" t="s">
        <v>855</v>
      </c>
      <c r="F99" s="42">
        <v>2.7</v>
      </c>
      <c r="G99" s="42" t="str">
        <f t="shared" si="21"/>
        <v>2-3km</v>
      </c>
      <c r="H99" s="43" t="s">
        <v>211</v>
      </c>
      <c r="I99" s="43">
        <v>140</v>
      </c>
      <c r="J99" s="44">
        <v>311</v>
      </c>
      <c r="K99" s="44" t="str">
        <f t="shared" si="22"/>
        <v>Médio</v>
      </c>
      <c r="L99" s="43" t="s">
        <v>215</v>
      </c>
      <c r="M99" s="43" t="s">
        <v>218</v>
      </c>
      <c r="N99" s="43" t="s">
        <v>220</v>
      </c>
      <c r="O99" s="43">
        <v>3.8</v>
      </c>
      <c r="P99" s="45">
        <f>(Tabela1[Avaliação Média (0-5)] * 20) / Tabela1[Preço Médio da Diária (R$)] * 10</f>
        <v>2.4437299035369775</v>
      </c>
      <c r="Q99" s="42" t="str">
        <f t="shared" si="25"/>
        <v>Regular</v>
      </c>
      <c r="R99" s="43">
        <v>3</v>
      </c>
      <c r="S99" s="46" t="s">
        <v>1055</v>
      </c>
      <c r="T99" s="43">
        <f t="shared" si="26"/>
        <v>1</v>
      </c>
      <c r="U99" s="46">
        <f t="shared" si="27"/>
        <v>1</v>
      </c>
      <c r="V99" s="46">
        <f>IF(OR(ISNUMBER(FIND("café da manhã",S99)), ISNUMBER(FIND("café da manha",O99)), ISNUMBER(FIND("cafe da manha",S99)), ISNUMBER(FIND("café da amanhã incluído",S99))), 1, 0)</f>
        <v>0</v>
      </c>
      <c r="W99" s="46">
        <f>IF(OR(ISNUMBER(FIND("estacionamento",S99)),ISNUMBER(FIND("estaciona",S99))), 1, 0)</f>
        <v>1</v>
      </c>
      <c r="X99" s="43">
        <f>IF(OR(ISNUMBER(FIND("serviço de quarto",S99)), ISNUMBER(FIND("servico de quarto",O99)), ISNUMBER(FIND("room service",S99))), 1, 0)</f>
        <v>1</v>
      </c>
      <c r="Y99" s="43">
        <f>IF(OR(ISNUMBER(FIND("restaurante",S99)), ISNUMBER(FIND("bar",S99))), 1, 0)</f>
        <v>1</v>
      </c>
      <c r="Z99" s="43">
        <f>IF(OR(ISNUMBER(FIND("academia",S99)), ISNUMBER(FIND("fitness",S99)), ISNUMBER(FIND("ginásio",S99))), 1, 0)</f>
        <v>0</v>
      </c>
      <c r="AA99" s="43">
        <f>IF(ISNUMBER(FIND("piscina",S99)), 1, 0)</f>
        <v>1</v>
      </c>
      <c r="AB99" s="43">
        <f>IF(OR(ISNUMBER(FIND("acessível",S99)),ISNUMBER(FIND("deficiência",S99)), ISNUMBER(FIND("cadeirante",S99)), ISNUMBER(FIND("PCD",S99))), 1, 0)</f>
        <v>1</v>
      </c>
      <c r="AC99" s="43">
        <f t="shared" si="28"/>
        <v>1</v>
      </c>
      <c r="AD99" s="46" t="s">
        <v>344</v>
      </c>
      <c r="AE99" s="43" t="s">
        <v>442</v>
      </c>
      <c r="AF99" s="43" t="s">
        <v>488</v>
      </c>
      <c r="AG99" s="43" t="s">
        <v>1064</v>
      </c>
      <c r="AH99" s="39" t="s">
        <v>528</v>
      </c>
      <c r="AI99" s="48" t="s">
        <v>541</v>
      </c>
    </row>
    <row r="100" spans="1:35" ht="18" thickBot="1" x14ac:dyDescent="0.4">
      <c r="A100" s="38" t="s">
        <v>116</v>
      </c>
      <c r="B100" s="39" t="s">
        <v>621</v>
      </c>
      <c r="C100" s="39" t="s">
        <v>189</v>
      </c>
      <c r="D100" s="43" t="s">
        <v>856</v>
      </c>
      <c r="E100" s="50" t="s">
        <v>857</v>
      </c>
      <c r="F100" s="42">
        <v>2.7</v>
      </c>
      <c r="G100" s="42" t="str">
        <f t="shared" si="21"/>
        <v>2-3km</v>
      </c>
      <c r="H100" s="43" t="s">
        <v>211</v>
      </c>
      <c r="I100" s="43">
        <v>83</v>
      </c>
      <c r="J100" s="44">
        <v>285</v>
      </c>
      <c r="K100" s="44" t="str">
        <f t="shared" si="22"/>
        <v>Médio</v>
      </c>
      <c r="L100" s="43" t="s">
        <v>215</v>
      </c>
      <c r="M100" s="43" t="s">
        <v>218</v>
      </c>
      <c r="N100" s="43" t="s">
        <v>220</v>
      </c>
      <c r="O100" s="43">
        <v>4.0999999999999996</v>
      </c>
      <c r="P100" s="45">
        <f>(Tabela1[Avaliação Média (0-5)] * 20) / Tabela1[Preço Médio da Diária (R$)] * 10</f>
        <v>2.8771929824561404</v>
      </c>
      <c r="Q100" s="42" t="str">
        <f t="shared" si="25"/>
        <v>Regular</v>
      </c>
      <c r="R100" s="43">
        <v>3</v>
      </c>
      <c r="S100" s="46" t="s">
        <v>1014</v>
      </c>
      <c r="T100" s="43">
        <f t="shared" si="26"/>
        <v>1</v>
      </c>
      <c r="U100" s="46">
        <f t="shared" si="27"/>
        <v>1</v>
      </c>
      <c r="V100" s="46">
        <f>IF(OR(ISNUMBER(FIND("café da manhã",S100)), ISNUMBER(FIND("café da manha",O100)), ISNUMBER(FIND("cafe da manha",S100)), ISNUMBER(FIND("café da amanhã incluído",S100))), 1, 0)</f>
        <v>0</v>
      </c>
      <c r="W100" s="46">
        <f>IF(OR(ISNUMBER(FIND("estacionamento",S100)),ISNUMBER(FIND("estaciona",S100))), 1, 0)</f>
        <v>1</v>
      </c>
      <c r="X100" s="43">
        <f>IF(OR(ISNUMBER(FIND("serviço de quarto",S100)), ISNUMBER(FIND("servico de quarto",O100)), ISNUMBER(FIND("room service",S100))), 1, 0)</f>
        <v>1</v>
      </c>
      <c r="Y100" s="43">
        <f>IF(OR(ISNUMBER(FIND("restaurante",S100)), ISNUMBER(FIND("bar",S100))), 1, 0)</f>
        <v>0</v>
      </c>
      <c r="Z100" s="43">
        <f>IF(OR(ISNUMBER(FIND("academia",S100)), ISNUMBER(FIND("fitness",S100)), ISNUMBER(FIND("ginásio",S100))), 1, 0)</f>
        <v>0</v>
      </c>
      <c r="AA100" s="43">
        <f>IF(ISNUMBER(FIND("piscina",S100)), 1, 0)</f>
        <v>0</v>
      </c>
      <c r="AB100" s="43">
        <f>IF(OR(ISNUMBER(FIND("acessível",S100)),ISNUMBER(FIND("deficiência",S100)), ISNUMBER(FIND("cadeirante",S100)), ISNUMBER(FIND("PCD",S100))), 1, 0)</f>
        <v>0</v>
      </c>
      <c r="AC100" s="43">
        <f t="shared" si="28"/>
        <v>1</v>
      </c>
      <c r="AD100" s="46" t="s">
        <v>345</v>
      </c>
      <c r="AE100" s="43" t="s">
        <v>443</v>
      </c>
      <c r="AF100" s="43" t="s">
        <v>490</v>
      </c>
      <c r="AG100" s="43" t="s">
        <v>1067</v>
      </c>
      <c r="AH100" s="39" t="s">
        <v>527</v>
      </c>
      <c r="AI100" s="48" t="s">
        <v>529</v>
      </c>
    </row>
    <row r="101" spans="1:35" ht="15" hidden="1" thickBot="1" x14ac:dyDescent="0.4">
      <c r="A101" s="12" t="s">
        <v>117</v>
      </c>
      <c r="B101" s="1" t="s">
        <v>931</v>
      </c>
      <c r="C101" s="1" t="s">
        <v>189</v>
      </c>
      <c r="D101" s="3" t="s">
        <v>858</v>
      </c>
      <c r="E101" s="4" t="s">
        <v>859</v>
      </c>
      <c r="F101" s="6">
        <v>3.1</v>
      </c>
      <c r="G101" s="6" t="str">
        <f t="shared" si="21"/>
        <v>2-3km</v>
      </c>
      <c r="H101" s="8" t="s">
        <v>211</v>
      </c>
      <c r="I101" s="8">
        <v>53</v>
      </c>
      <c r="J101" s="9">
        <v>536</v>
      </c>
      <c r="K101" s="9" t="str">
        <f t="shared" si="22"/>
        <v>Alto</v>
      </c>
      <c r="L101" s="8" t="s">
        <v>215</v>
      </c>
      <c r="M101" s="8" t="s">
        <v>218</v>
      </c>
      <c r="N101" s="8" t="s">
        <v>220</v>
      </c>
      <c r="O101" s="8">
        <v>4.4000000000000004</v>
      </c>
      <c r="P101" s="28">
        <f>(Tabela1[Avaliação Média (0-5)] * 20) / Tabela1[Preço Médio da Diária (R$)] * 10</f>
        <v>1.6417910447761195</v>
      </c>
      <c r="Q101" s="28" t="str">
        <f t="shared" si="25"/>
        <v>Baixo</v>
      </c>
      <c r="R101" s="8">
        <v>3</v>
      </c>
      <c r="S101" s="31" t="s">
        <v>1034</v>
      </c>
      <c r="T101" s="8">
        <f t="shared" si="26"/>
        <v>1</v>
      </c>
      <c r="U101" s="31">
        <f t="shared" si="27"/>
        <v>1</v>
      </c>
      <c r="V101" s="31">
        <f>IF(OR(ISNUMBER(FIND("café da manhã",S101)), ISNUMBER(FIND("café da manha",O101)), ISNUMBER(FIND("cafe da manha",S101)), ISNUMBER(FIND("café da amanhã incluído",S101))), 1, 0)</f>
        <v>0</v>
      </c>
      <c r="W101" s="31">
        <f>IF(OR(ISNUMBER(FIND("estacionamento",S101)),ISNUMBER(FIND("estaciona",S101))), 1, 0)</f>
        <v>1</v>
      </c>
      <c r="X101" s="8">
        <f>IF(OR(ISNUMBER(FIND("serviço de quarto",S101)), ISNUMBER(FIND("servico de quarto",O101)), ISNUMBER(FIND("room service",S101))), 1, 0)</f>
        <v>1</v>
      </c>
      <c r="Y101" s="8">
        <f>IF(OR(ISNUMBER(FIND("restaurante",S101)), ISNUMBER(FIND("bar",S101))), 1, 0)</f>
        <v>1</v>
      </c>
      <c r="Z101" s="8">
        <f>IF(OR(ISNUMBER(FIND("academia",S101)), ISNUMBER(FIND("fitness",S101)), ISNUMBER(FIND("ginásio",S101))), 1, 0)</f>
        <v>1</v>
      </c>
      <c r="AA101" s="8">
        <f t="shared" ref="AA101:AA129" si="29">IF(ISNUMBER(FIND("piscina",S101)), 1, 0)</f>
        <v>0</v>
      </c>
      <c r="AB101" s="8">
        <f t="shared" ref="AB101:AB129" si="30">IF(OR(ISNUMBER(FIND("acessível",S101)),ISNUMBER(FIND("deficiência",S101)), ISNUMBER(FIND("cadeirante",S101)), ISNUMBER(FIND("PCD",S101))), 1, 0)</f>
        <v>0</v>
      </c>
      <c r="AC101" s="8">
        <f t="shared" si="28"/>
        <v>0</v>
      </c>
      <c r="AD101" s="31" t="s">
        <v>346</v>
      </c>
      <c r="AE101" s="8" t="s">
        <v>444</v>
      </c>
      <c r="AF101" s="8" t="s">
        <v>488</v>
      </c>
      <c r="AG101" s="8" t="s">
        <v>525</v>
      </c>
      <c r="AH101" s="1" t="s">
        <v>527</v>
      </c>
      <c r="AI101" s="13" t="s">
        <v>529</v>
      </c>
    </row>
    <row r="102" spans="1:35" ht="18" thickBot="1" x14ac:dyDescent="0.4">
      <c r="A102" s="38" t="s">
        <v>118</v>
      </c>
      <c r="B102" s="39" t="s">
        <v>622</v>
      </c>
      <c r="C102" s="39" t="s">
        <v>189</v>
      </c>
      <c r="D102" s="43" t="s">
        <v>860</v>
      </c>
      <c r="E102" s="50" t="s">
        <v>861</v>
      </c>
      <c r="F102" s="42">
        <v>3.1</v>
      </c>
      <c r="G102" s="42" t="str">
        <f t="shared" si="21"/>
        <v>2-3km</v>
      </c>
      <c r="H102" s="43" t="s">
        <v>211</v>
      </c>
      <c r="I102" s="43">
        <v>49</v>
      </c>
      <c r="J102" s="44">
        <v>300</v>
      </c>
      <c r="K102" s="44" t="str">
        <f t="shared" si="22"/>
        <v>Médio</v>
      </c>
      <c r="L102" s="43" t="s">
        <v>215</v>
      </c>
      <c r="M102" s="43" t="s">
        <v>218</v>
      </c>
      <c r="N102" s="43" t="s">
        <v>220</v>
      </c>
      <c r="O102" s="43">
        <v>3.2</v>
      </c>
      <c r="P102" s="45">
        <f>(Tabela1[Avaliação Média (0-5)] * 20) / Tabela1[Preço Médio da Diária (R$)] * 10</f>
        <v>2.1333333333333333</v>
      </c>
      <c r="Q102" s="42" t="str">
        <f t="shared" si="25"/>
        <v>Regular</v>
      </c>
      <c r="R102" s="43">
        <v>3</v>
      </c>
      <c r="S102" s="46" t="s">
        <v>1056</v>
      </c>
      <c r="T102" s="43">
        <f t="shared" si="26"/>
        <v>1</v>
      </c>
      <c r="U102" s="46">
        <f t="shared" si="27"/>
        <v>1</v>
      </c>
      <c r="V102" s="46">
        <f>IF(OR(ISNUMBER(FIND("café da manhã",S102)), ISNUMBER(FIND("café da manha",O102)), ISNUMBER(FIND("cafe da manha",S102)), ISNUMBER(FIND("café da amanhã incluído",S102))), 1, 0)</f>
        <v>0</v>
      </c>
      <c r="W102" s="46">
        <f>IF(OR(ISNUMBER(FIND("estacionamento",S102)),ISNUMBER(FIND("estaciona",S102))), 1, 0)</f>
        <v>1</v>
      </c>
      <c r="X102" s="43">
        <f>IF(OR(ISNUMBER(FIND("serviço de quarto",S102)), ISNUMBER(FIND("servico de quarto",O102)), ISNUMBER(FIND("room service",S102))), 1, 0)</f>
        <v>0</v>
      </c>
      <c r="Y102" s="43">
        <f>IF(OR(ISNUMBER(FIND("restaurante",S102)), ISNUMBER(FIND("bar",S102))), 1, 0)</f>
        <v>0</v>
      </c>
      <c r="Z102" s="43">
        <f>IF(OR(ISNUMBER(FIND("academia",S102)), ISNUMBER(FIND("fitness",S102)), ISNUMBER(FIND("ginásio",S102))), 1, 0)</f>
        <v>0</v>
      </c>
      <c r="AA102" s="43">
        <f>IF(ISNUMBER(FIND("piscina",S102)), 1, 0)</f>
        <v>0</v>
      </c>
      <c r="AB102" s="43">
        <f>IF(OR(ISNUMBER(FIND("acessível",S102)),ISNUMBER(FIND("deficiência",S102)), ISNUMBER(FIND("cadeirante",S102)), ISNUMBER(FIND("PCD",S102))), 1, 0)</f>
        <v>1</v>
      </c>
      <c r="AC102" s="43">
        <f t="shared" si="28"/>
        <v>1</v>
      </c>
      <c r="AD102" s="46" t="s">
        <v>347</v>
      </c>
      <c r="AE102" s="43" t="s">
        <v>445</v>
      </c>
      <c r="AF102" s="43" t="s">
        <v>488</v>
      </c>
      <c r="AG102" s="43" t="s">
        <v>1064</v>
      </c>
      <c r="AH102" s="39" t="s">
        <v>528</v>
      </c>
      <c r="AI102" s="48" t="s">
        <v>541</v>
      </c>
    </row>
    <row r="103" spans="1:35" ht="18" thickBot="1" x14ac:dyDescent="0.4">
      <c r="A103" s="38" t="s">
        <v>119</v>
      </c>
      <c r="B103" s="39" t="s">
        <v>623</v>
      </c>
      <c r="C103" s="39" t="s">
        <v>183</v>
      </c>
      <c r="D103" s="43" t="s">
        <v>862</v>
      </c>
      <c r="E103" s="50" t="s">
        <v>863</v>
      </c>
      <c r="F103" s="42">
        <v>2.4</v>
      </c>
      <c r="G103" s="42" t="str">
        <f t="shared" si="21"/>
        <v>2-3km</v>
      </c>
      <c r="H103" s="43" t="s">
        <v>211</v>
      </c>
      <c r="I103" s="43">
        <v>14</v>
      </c>
      <c r="J103" s="44">
        <v>180</v>
      </c>
      <c r="K103" s="44" t="str">
        <f t="shared" si="22"/>
        <v>Econômico</v>
      </c>
      <c r="L103" s="43" t="s">
        <v>215</v>
      </c>
      <c r="M103" s="43" t="s">
        <v>218</v>
      </c>
      <c r="N103" s="43" t="s">
        <v>215</v>
      </c>
      <c r="O103" s="43">
        <v>3.9</v>
      </c>
      <c r="P103" s="45">
        <f>(Tabela1[Avaliação Média (0-5)] * 20) / Tabela1[Preço Médio da Diária (R$)] * 10</f>
        <v>4.3333333333333339</v>
      </c>
      <c r="Q103" s="42" t="str">
        <f t="shared" si="25"/>
        <v>Bom</v>
      </c>
      <c r="R103" s="43">
        <v>3</v>
      </c>
      <c r="S103" s="46" t="s">
        <v>989</v>
      </c>
      <c r="T103" s="43">
        <f t="shared" si="26"/>
        <v>1</v>
      </c>
      <c r="U103" s="46">
        <f t="shared" si="27"/>
        <v>1</v>
      </c>
      <c r="V103" s="46">
        <f>IF(OR(ISNUMBER(FIND("café da manhã",S103)), ISNUMBER(FIND("café da manha",O103)), ISNUMBER(FIND("cafe da manha",S103)), ISNUMBER(FIND("café da amanhã incluído",S103))), 1, 0)</f>
        <v>0</v>
      </c>
      <c r="W103" s="46">
        <f>IF(OR(ISNUMBER(FIND("estacionamento",S103)),ISNUMBER(FIND("estaciona",S103))), 1, 0)</f>
        <v>1</v>
      </c>
      <c r="X103" s="43">
        <f>IF(OR(ISNUMBER(FIND("serviço de quarto",S103)), ISNUMBER(FIND("servico de quarto",O103)), ISNUMBER(FIND("room service",S103))), 1, 0)</f>
        <v>0</v>
      </c>
      <c r="Y103" s="43">
        <f>IF(OR(ISNUMBER(FIND("restaurante",S103)), ISNUMBER(FIND("bar",S103))), 1, 0)</f>
        <v>0</v>
      </c>
      <c r="Z103" s="43">
        <f>IF(OR(ISNUMBER(FIND("academia",S103)), ISNUMBER(FIND("fitness",S103)), ISNUMBER(FIND("ginásio",S103))), 1, 0)</f>
        <v>0</v>
      </c>
      <c r="AA103" s="43">
        <f>IF(ISNUMBER(FIND("piscina",S103)), 1, 0)</f>
        <v>0</v>
      </c>
      <c r="AB103" s="43">
        <f>IF(OR(ISNUMBER(FIND("acessível",S103)),ISNUMBER(FIND("deficiência",S103)), ISNUMBER(FIND("cadeirante",S103)), ISNUMBER(FIND("PCD",S103))), 1, 0)</f>
        <v>0</v>
      </c>
      <c r="AC103" s="43">
        <f t="shared" si="28"/>
        <v>1</v>
      </c>
      <c r="AD103" s="46" t="s">
        <v>348</v>
      </c>
      <c r="AE103" s="43" t="s">
        <v>446</v>
      </c>
      <c r="AF103" s="43" t="s">
        <v>488</v>
      </c>
      <c r="AG103" s="43" t="s">
        <v>1064</v>
      </c>
      <c r="AH103" s="39" t="s">
        <v>527</v>
      </c>
      <c r="AI103" s="48" t="s">
        <v>529</v>
      </c>
    </row>
    <row r="104" spans="1:35" ht="18" thickBot="1" x14ac:dyDescent="0.4">
      <c r="A104" s="38" t="s">
        <v>120</v>
      </c>
      <c r="B104" s="39" t="s">
        <v>624</v>
      </c>
      <c r="C104" s="39" t="s">
        <v>190</v>
      </c>
      <c r="D104" s="43" t="s">
        <v>864</v>
      </c>
      <c r="E104" s="50" t="s">
        <v>865</v>
      </c>
      <c r="F104" s="42">
        <v>3.2</v>
      </c>
      <c r="G104" s="42" t="str">
        <f t="shared" si="21"/>
        <v>2-3km</v>
      </c>
      <c r="H104" s="43" t="s">
        <v>211</v>
      </c>
      <c r="I104" s="43">
        <v>210</v>
      </c>
      <c r="J104" s="44">
        <v>498</v>
      </c>
      <c r="K104" s="44" t="str">
        <f t="shared" si="22"/>
        <v>Alto</v>
      </c>
      <c r="L104" s="43" t="s">
        <v>215</v>
      </c>
      <c r="M104" s="43" t="s">
        <v>218</v>
      </c>
      <c r="N104" s="43" t="s">
        <v>220</v>
      </c>
      <c r="O104" s="43">
        <v>4.3</v>
      </c>
      <c r="P104" s="45">
        <f>(Tabela1[Avaliação Média (0-5)] * 20) / Tabela1[Preço Médio da Diária (R$)] * 10</f>
        <v>1.7269076305220885</v>
      </c>
      <c r="Q104" s="42" t="str">
        <f t="shared" si="25"/>
        <v>Baixo</v>
      </c>
      <c r="R104" s="43">
        <v>3</v>
      </c>
      <c r="S104" s="46" t="s">
        <v>1057</v>
      </c>
      <c r="T104" s="43">
        <f t="shared" si="26"/>
        <v>1</v>
      </c>
      <c r="U104" s="46">
        <f t="shared" si="27"/>
        <v>1</v>
      </c>
      <c r="V104" s="46">
        <f>IF(OR(ISNUMBER(FIND("café da manhã",S104)), ISNUMBER(FIND("café da manha",O104)), ISNUMBER(FIND("cafe da manha",S104)), ISNUMBER(FIND("café da amanhã incluído",S104))), 1, 0)</f>
        <v>0</v>
      </c>
      <c r="W104" s="46">
        <f>IF(OR(ISNUMBER(FIND("estacionamento",S104)),ISNUMBER(FIND("estaciona",S104))), 1, 0)</f>
        <v>1</v>
      </c>
      <c r="X104" s="43">
        <f>IF(OR(ISNUMBER(FIND("serviço de quarto",S104)), ISNUMBER(FIND("servico de quarto",O104)), ISNUMBER(FIND("room service",S104))), 1, 0)</f>
        <v>0</v>
      </c>
      <c r="Y104" s="43">
        <f>IF(OR(ISNUMBER(FIND("restaurante",S104)), ISNUMBER(FIND("bar",S104))), 1, 0)</f>
        <v>0</v>
      </c>
      <c r="Z104" s="43">
        <f>IF(OR(ISNUMBER(FIND("academia",S104)), ISNUMBER(FIND("fitness",S104)), ISNUMBER(FIND("ginásio",S104))), 1, 0)</f>
        <v>0</v>
      </c>
      <c r="AA104" s="43">
        <f>IF(ISNUMBER(FIND("piscina",S104)), 1, 0)</f>
        <v>0</v>
      </c>
      <c r="AB104" s="43">
        <f>IF(OR(ISNUMBER(FIND("acessível",S104)),ISNUMBER(FIND("deficiência",S104)), ISNUMBER(FIND("cadeirante",S104)), ISNUMBER(FIND("PCD",S104))), 1, 0)</f>
        <v>1</v>
      </c>
      <c r="AC104" s="43">
        <f t="shared" si="28"/>
        <v>1</v>
      </c>
      <c r="AD104" s="46" t="s">
        <v>349</v>
      </c>
      <c r="AE104" s="43" t="s">
        <v>433</v>
      </c>
      <c r="AF104" s="43" t="s">
        <v>488</v>
      </c>
      <c r="AG104" s="43" t="s">
        <v>1064</v>
      </c>
      <c r="AH104" s="39" t="s">
        <v>527</v>
      </c>
      <c r="AI104" s="48" t="s">
        <v>529</v>
      </c>
    </row>
    <row r="105" spans="1:35" ht="18" thickBot="1" x14ac:dyDescent="0.4">
      <c r="A105" s="38" t="s">
        <v>121</v>
      </c>
      <c r="B105" s="39" t="s">
        <v>628</v>
      </c>
      <c r="C105" s="39" t="s">
        <v>179</v>
      </c>
      <c r="D105" s="43" t="s">
        <v>866</v>
      </c>
      <c r="E105" s="50" t="s">
        <v>867</v>
      </c>
      <c r="F105" s="42">
        <v>1.6</v>
      </c>
      <c r="G105" s="42" t="str">
        <f t="shared" si="21"/>
        <v>1-2km</v>
      </c>
      <c r="H105" s="43" t="s">
        <v>212</v>
      </c>
      <c r="I105" s="43">
        <v>11</v>
      </c>
      <c r="J105" s="44">
        <v>1239</v>
      </c>
      <c r="K105" s="44" t="str">
        <f t="shared" si="22"/>
        <v>Alto</v>
      </c>
      <c r="L105" s="43" t="s">
        <v>215</v>
      </c>
      <c r="M105" s="43" t="s">
        <v>218</v>
      </c>
      <c r="N105" s="43" t="s">
        <v>225</v>
      </c>
      <c r="O105" s="43">
        <v>4.2</v>
      </c>
      <c r="P105" s="45">
        <f>(Tabela1[Avaliação Média (0-5)] * 20) / Tabela1[Preço Médio da Diária (R$)] * 10</f>
        <v>0.67796610169491522</v>
      </c>
      <c r="Q105" s="42" t="str">
        <f t="shared" si="25"/>
        <v>Baixo</v>
      </c>
      <c r="R105" s="43"/>
      <c r="S105" s="46" t="s">
        <v>945</v>
      </c>
      <c r="T105" s="43">
        <f t="shared" si="26"/>
        <v>1</v>
      </c>
      <c r="U105" s="46">
        <f t="shared" si="27"/>
        <v>0</v>
      </c>
      <c r="V105" s="46">
        <f>IF(OR(ISNUMBER(FIND("café da manhã",S105)), ISNUMBER(FIND("café da manha",O105)), ISNUMBER(FIND("cafe da manha",S105)), ISNUMBER(FIND("café da amanhã incluído",S105))), 1, 0)</f>
        <v>0</v>
      </c>
      <c r="W105" s="46">
        <f>IF(OR(ISNUMBER(FIND("estacionamento",S105)),ISNUMBER(FIND("estaciona",S105))), 1, 0)</f>
        <v>0</v>
      </c>
      <c r="X105" s="43">
        <f>IF(OR(ISNUMBER(FIND("serviço de quarto",S105)), ISNUMBER(FIND("servico de quarto",O105)), ISNUMBER(FIND("room service",S105))), 1, 0)</f>
        <v>0</v>
      </c>
      <c r="Y105" s="43">
        <f>IF(OR(ISNUMBER(FIND("restaurante",S105)), ISNUMBER(FIND("bar",S105))), 1, 0)</f>
        <v>0</v>
      </c>
      <c r="Z105" s="43">
        <f>IF(OR(ISNUMBER(FIND("academia",S105)), ISNUMBER(FIND("fitness",S105)), ISNUMBER(FIND("ginásio",S105))), 1, 0)</f>
        <v>0</v>
      </c>
      <c r="AA105" s="43">
        <f>IF(ISNUMBER(FIND("piscina",S105)), 1, 0)</f>
        <v>0</v>
      </c>
      <c r="AB105" s="43">
        <f>IF(OR(ISNUMBER(FIND("acessível",S105)),ISNUMBER(FIND("deficiência",S105)), ISNUMBER(FIND("cadeirante",S105)), ISNUMBER(FIND("PCD",S105))), 1, 0)</f>
        <v>0</v>
      </c>
      <c r="AC105" s="43">
        <f t="shared" si="28"/>
        <v>1</v>
      </c>
      <c r="AD105" s="46" t="s">
        <v>350</v>
      </c>
      <c r="AE105" s="43" t="s">
        <v>447</v>
      </c>
      <c r="AF105" s="43" t="s">
        <v>496</v>
      </c>
      <c r="AG105" s="43" t="s">
        <v>1064</v>
      </c>
      <c r="AH105" s="39" t="s">
        <v>527</v>
      </c>
      <c r="AI105" s="48" t="s">
        <v>529</v>
      </c>
    </row>
    <row r="106" spans="1:35" ht="15" hidden="1" thickBot="1" x14ac:dyDescent="0.4">
      <c r="A106" s="12" t="s">
        <v>122</v>
      </c>
      <c r="B106" s="1" t="s">
        <v>629</v>
      </c>
      <c r="C106" s="1" t="s">
        <v>195</v>
      </c>
      <c r="D106" s="3" t="s">
        <v>868</v>
      </c>
      <c r="E106" s="4" t="s">
        <v>869</v>
      </c>
      <c r="F106" s="6">
        <v>2.9</v>
      </c>
      <c r="G106" s="6" t="str">
        <f t="shared" si="21"/>
        <v>2-3km</v>
      </c>
      <c r="H106" s="8" t="s">
        <v>211</v>
      </c>
      <c r="I106" s="8">
        <v>89</v>
      </c>
      <c r="J106" s="9">
        <v>479</v>
      </c>
      <c r="K106" s="9" t="str">
        <f t="shared" si="22"/>
        <v>Alto</v>
      </c>
      <c r="L106" s="8" t="s">
        <v>215</v>
      </c>
      <c r="M106" s="8" t="s">
        <v>218</v>
      </c>
      <c r="N106" s="8" t="s">
        <v>228</v>
      </c>
      <c r="O106" s="8">
        <v>4.7</v>
      </c>
      <c r="P106" s="28">
        <f>(Tabela1[Avaliação Média (0-5)] * 20) / Tabela1[Preço Médio da Diária (R$)] * 10</f>
        <v>1.9624217118997913</v>
      </c>
      <c r="Q106" s="28" t="str">
        <f t="shared" si="25"/>
        <v>Baixo</v>
      </c>
      <c r="R106" s="8">
        <v>4</v>
      </c>
      <c r="S106" s="31" t="s">
        <v>1035</v>
      </c>
      <c r="T106" s="8">
        <f t="shared" si="26"/>
        <v>1</v>
      </c>
      <c r="U106" s="31">
        <f t="shared" si="27"/>
        <v>1</v>
      </c>
      <c r="V106" s="31">
        <f>IF(OR(ISNUMBER(FIND("café da manhã",S106)), ISNUMBER(FIND("café da manha",O106)), ISNUMBER(FIND("cafe da manha",S106)), ISNUMBER(FIND("café da amanhã incluído",S106))), 1, 0)</f>
        <v>0</v>
      </c>
      <c r="W106" s="31">
        <f>IF(OR(ISNUMBER(FIND("estacionamento",S106)),ISNUMBER(FIND("estaciona",S106))), 1, 0)</f>
        <v>1</v>
      </c>
      <c r="X106" s="8">
        <f>IF(OR(ISNUMBER(FIND("serviço de quarto",S106)), ISNUMBER(FIND("servico de quarto",O106)), ISNUMBER(FIND("room service",S106))), 1, 0)</f>
        <v>0</v>
      </c>
      <c r="Y106" s="8">
        <f>IF(OR(ISNUMBER(FIND("restaurante",S106)), ISNUMBER(FIND("bar",S106))), 1, 0)</f>
        <v>1</v>
      </c>
      <c r="Z106" s="8">
        <f>IF(OR(ISNUMBER(FIND("academia",S106)), ISNUMBER(FIND("fitness",S106)), ISNUMBER(FIND("ginásio",S106))), 1, 0)</f>
        <v>1</v>
      </c>
      <c r="AA106" s="8">
        <f t="shared" si="29"/>
        <v>0</v>
      </c>
      <c r="AB106" s="8">
        <f t="shared" si="30"/>
        <v>0</v>
      </c>
      <c r="AC106" s="8">
        <f t="shared" si="28"/>
        <v>1</v>
      </c>
      <c r="AD106" s="31" t="s">
        <v>351</v>
      </c>
      <c r="AE106" s="8" t="s">
        <v>445</v>
      </c>
      <c r="AF106" s="8" t="s">
        <v>500</v>
      </c>
      <c r="AG106" s="8" t="s">
        <v>524</v>
      </c>
      <c r="AH106" s="1" t="s">
        <v>528</v>
      </c>
      <c r="AI106" s="13" t="s">
        <v>542</v>
      </c>
    </row>
    <row r="107" spans="1:35" ht="15" hidden="1" thickBot="1" x14ac:dyDescent="0.4">
      <c r="A107" s="12" t="s">
        <v>123</v>
      </c>
      <c r="B107" s="1" t="s">
        <v>630</v>
      </c>
      <c r="C107" s="1" t="s">
        <v>187</v>
      </c>
      <c r="D107" s="3" t="s">
        <v>777</v>
      </c>
      <c r="E107" s="4" t="s">
        <v>870</v>
      </c>
      <c r="F107" s="6">
        <v>1.7</v>
      </c>
      <c r="G107" s="6" t="str">
        <f t="shared" si="21"/>
        <v>1-2km</v>
      </c>
      <c r="H107" s="8" t="s">
        <v>214</v>
      </c>
      <c r="I107" s="8">
        <v>250</v>
      </c>
      <c r="J107" s="9">
        <v>416</v>
      </c>
      <c r="K107" s="9" t="str">
        <f t="shared" si="22"/>
        <v>Alto</v>
      </c>
      <c r="L107" s="8" t="s">
        <v>215</v>
      </c>
      <c r="M107" s="8" t="s">
        <v>218</v>
      </c>
      <c r="N107" s="8" t="s">
        <v>220</v>
      </c>
      <c r="O107" s="8">
        <v>4.4000000000000004</v>
      </c>
      <c r="P107" s="28">
        <f>(Tabela1[Avaliação Média (0-5)] * 20) / Tabela1[Preço Médio da Diária (R$)] * 10</f>
        <v>2.1153846153846154</v>
      </c>
      <c r="Q107" s="28" t="str">
        <f t="shared" si="25"/>
        <v>Regular</v>
      </c>
      <c r="R107" s="8">
        <v>3</v>
      </c>
      <c r="S107" s="31" t="s">
        <v>1036</v>
      </c>
      <c r="T107" s="8">
        <f t="shared" si="26"/>
        <v>1</v>
      </c>
      <c r="U107" s="31">
        <f t="shared" si="27"/>
        <v>1</v>
      </c>
      <c r="V107" s="31">
        <f>IF(OR(ISNUMBER(FIND("café da manhã",S107)), ISNUMBER(FIND("café da manha",O107)), ISNUMBER(FIND("cafe da manha",S107)), ISNUMBER(FIND("café da amanhã incluído",S107))), 1, 0)</f>
        <v>1</v>
      </c>
      <c r="W107" s="31">
        <f>IF(OR(ISNUMBER(FIND("estacionamento",S107)),ISNUMBER(FIND("estaciona",S107))), 1, 0)</f>
        <v>1</v>
      </c>
      <c r="X107" s="8">
        <f>IF(OR(ISNUMBER(FIND("serviço de quarto",S107)), ISNUMBER(FIND("servico de quarto",O107)), ISNUMBER(FIND("room service",S107))), 1, 0)</f>
        <v>1</v>
      </c>
      <c r="Y107" s="8">
        <f>IF(OR(ISNUMBER(FIND("restaurante",S107)), ISNUMBER(FIND("bar",S107))), 1, 0)</f>
        <v>1</v>
      </c>
      <c r="Z107" s="8">
        <f>IF(OR(ISNUMBER(FIND("academia",S107)), ISNUMBER(FIND("fitness",S107)), ISNUMBER(FIND("ginásio",S107))), 1, 0)</f>
        <v>1</v>
      </c>
      <c r="AA107" s="8">
        <f t="shared" si="29"/>
        <v>0</v>
      </c>
      <c r="AB107" s="8">
        <f t="shared" si="30"/>
        <v>0</v>
      </c>
      <c r="AC107" s="8">
        <f t="shared" si="28"/>
        <v>1</v>
      </c>
      <c r="AD107" s="31" t="s">
        <v>352</v>
      </c>
      <c r="AE107" s="8" t="s">
        <v>448</v>
      </c>
      <c r="AF107" s="8" t="s">
        <v>500</v>
      </c>
      <c r="AG107" s="8" t="s">
        <v>524</v>
      </c>
      <c r="AH107" s="1" t="s">
        <v>528</v>
      </c>
      <c r="AI107" s="13" t="s">
        <v>543</v>
      </c>
    </row>
    <row r="108" spans="1:35" ht="18" thickBot="1" x14ac:dyDescent="0.4">
      <c r="A108" s="38" t="s">
        <v>124</v>
      </c>
      <c r="B108" s="39" t="s">
        <v>631</v>
      </c>
      <c r="C108" s="39" t="s">
        <v>189</v>
      </c>
      <c r="D108" s="43" t="s">
        <v>871</v>
      </c>
      <c r="E108" s="50" t="s">
        <v>872</v>
      </c>
      <c r="F108" s="42">
        <v>2.8</v>
      </c>
      <c r="G108" s="42" t="str">
        <f t="shared" si="21"/>
        <v>2-3km</v>
      </c>
      <c r="H108" s="43" t="s">
        <v>212</v>
      </c>
      <c r="I108" s="43">
        <v>69</v>
      </c>
      <c r="J108" s="44">
        <v>167</v>
      </c>
      <c r="K108" s="44" t="str">
        <f t="shared" si="22"/>
        <v>Econômico</v>
      </c>
      <c r="L108" s="43" t="s">
        <v>215</v>
      </c>
      <c r="M108" s="43" t="s">
        <v>219</v>
      </c>
      <c r="N108" s="43" t="s">
        <v>225</v>
      </c>
      <c r="O108" s="43">
        <v>4.5999999999999996</v>
      </c>
      <c r="P108" s="45">
        <f>(Tabela1[Avaliação Média (0-5)] * 20) / Tabela1[Preço Médio da Diária (R$)] * 10</f>
        <v>5.5089820359281436</v>
      </c>
      <c r="Q108" s="42" t="str">
        <f t="shared" si="25"/>
        <v>Bom</v>
      </c>
      <c r="R108" s="43"/>
      <c r="S108" s="46" t="s">
        <v>239</v>
      </c>
      <c r="T108" s="43">
        <f t="shared" si="26"/>
        <v>1</v>
      </c>
      <c r="U108" s="46">
        <f t="shared" si="27"/>
        <v>1</v>
      </c>
      <c r="V108" s="46">
        <f>IF(OR(ISNUMBER(FIND("café da manhã",S108)), ISNUMBER(FIND("café da manha",O108)), ISNUMBER(FIND("cafe da manha",S108)), ISNUMBER(FIND("café da amanhã incluído",S108))), 1, 0)</f>
        <v>0</v>
      </c>
      <c r="W108" s="46">
        <f>IF(OR(ISNUMBER(FIND("estacionamento",S108)),ISNUMBER(FIND("estaciona",S108))), 1, 0)</f>
        <v>0</v>
      </c>
      <c r="X108" s="43">
        <f>IF(OR(ISNUMBER(FIND("serviço de quarto",S108)), ISNUMBER(FIND("servico de quarto",O108)), ISNUMBER(FIND("room service",S108))), 1, 0)</f>
        <v>0</v>
      </c>
      <c r="Y108" s="43">
        <f>IF(OR(ISNUMBER(FIND("restaurante",S108)), ISNUMBER(FIND("bar",S108))), 1, 0)</f>
        <v>0</v>
      </c>
      <c r="Z108" s="43">
        <f>IF(OR(ISNUMBER(FIND("academia",S108)), ISNUMBER(FIND("fitness",S108)), ISNUMBER(FIND("ginásio",S108))), 1, 0)</f>
        <v>0</v>
      </c>
      <c r="AA108" s="43">
        <f>IF(ISNUMBER(FIND("piscina",S108)), 1, 0)</f>
        <v>0</v>
      </c>
      <c r="AB108" s="43">
        <f>IF(OR(ISNUMBER(FIND("acessível",S108)),ISNUMBER(FIND("deficiência",S108)), ISNUMBER(FIND("cadeirante",S108)), ISNUMBER(FIND("PCD",S108))), 1, 0)</f>
        <v>0</v>
      </c>
      <c r="AC108" s="43">
        <f t="shared" si="28"/>
        <v>1</v>
      </c>
      <c r="AD108" s="46" t="s">
        <v>353</v>
      </c>
      <c r="AE108" s="43" t="s">
        <v>449</v>
      </c>
      <c r="AF108" s="43" t="s">
        <v>501</v>
      </c>
      <c r="AG108" s="43" t="s">
        <v>1064</v>
      </c>
      <c r="AH108" s="39" t="s">
        <v>527</v>
      </c>
      <c r="AI108" s="48" t="s">
        <v>529</v>
      </c>
    </row>
    <row r="109" spans="1:35" ht="18" thickBot="1" x14ac:dyDescent="0.4">
      <c r="A109" s="38" t="s">
        <v>125</v>
      </c>
      <c r="B109" s="39" t="s">
        <v>632</v>
      </c>
      <c r="C109" s="39" t="s">
        <v>179</v>
      </c>
      <c r="D109" s="43" t="s">
        <v>873</v>
      </c>
      <c r="E109" s="50" t="s">
        <v>874</v>
      </c>
      <c r="F109" s="42">
        <v>2</v>
      </c>
      <c r="G109" s="42" t="str">
        <f t="shared" si="21"/>
        <v>2-3km</v>
      </c>
      <c r="H109" s="43" t="s">
        <v>212</v>
      </c>
      <c r="I109" s="43">
        <v>24</v>
      </c>
      <c r="J109" s="44">
        <v>180</v>
      </c>
      <c r="K109" s="44" t="str">
        <f t="shared" si="22"/>
        <v>Econômico</v>
      </c>
      <c r="L109" s="43" t="s">
        <v>215</v>
      </c>
      <c r="M109" s="43" t="s">
        <v>217</v>
      </c>
      <c r="N109" s="43" t="s">
        <v>220</v>
      </c>
      <c r="O109" s="43">
        <v>4.8</v>
      </c>
      <c r="P109" s="45">
        <f>(Tabela1[Avaliação Média (0-5)] * 20) / Tabela1[Preço Médio da Diária (R$)] * 10</f>
        <v>5.333333333333333</v>
      </c>
      <c r="Q109" s="42" t="str">
        <f t="shared" si="25"/>
        <v>Bom</v>
      </c>
      <c r="R109" s="43"/>
      <c r="S109" s="46" t="s">
        <v>240</v>
      </c>
      <c r="T109" s="43">
        <f t="shared" si="26"/>
        <v>1</v>
      </c>
      <c r="U109" s="46">
        <f t="shared" si="27"/>
        <v>0</v>
      </c>
      <c r="V109" s="46">
        <f>IF(OR(ISNUMBER(FIND("café da manhã",S109)), ISNUMBER(FIND("café da manha",O109)), ISNUMBER(FIND("cafe da manha",S109)), ISNUMBER(FIND("café da amanhã incluído",S109))), 1, 0)</f>
        <v>0</v>
      </c>
      <c r="W109" s="46">
        <f>IF(OR(ISNUMBER(FIND("estacionamento",S109)),ISNUMBER(FIND("estaciona",S109))), 1, 0)</f>
        <v>0</v>
      </c>
      <c r="X109" s="43">
        <f>IF(OR(ISNUMBER(FIND("serviço de quarto",S109)), ISNUMBER(FIND("servico de quarto",O109)), ISNUMBER(FIND("room service",S109))), 1, 0)</f>
        <v>0</v>
      </c>
      <c r="Y109" s="43">
        <f t="shared" ref="Y109:Y129" si="31">IF(OR(ISNUMBER(FIND("restaurante",S109)), ISNUMBER(FIND("bar",S109))), 1, 0)</f>
        <v>1</v>
      </c>
      <c r="Z109" s="43">
        <f>IF(OR(ISNUMBER(FIND("academia",S109)), ISNUMBER(FIND("fitness",S109)), ISNUMBER(FIND("ginásio",S109))), 1, 0)</f>
        <v>0</v>
      </c>
      <c r="AA109" s="43">
        <f>IF(ISNUMBER(FIND("piscina",S109)), 1, 0)</f>
        <v>0</v>
      </c>
      <c r="AB109" s="43">
        <f>IF(OR(ISNUMBER(FIND("acessível",S109)),ISNUMBER(FIND("deficiência",S109)), ISNUMBER(FIND("cadeirante",S109)), ISNUMBER(FIND("PCD",S109))), 1, 0)</f>
        <v>0</v>
      </c>
      <c r="AC109" s="43">
        <f t="shared" si="28"/>
        <v>1</v>
      </c>
      <c r="AD109" s="46" t="s">
        <v>354</v>
      </c>
      <c r="AE109" s="43" t="s">
        <v>450</v>
      </c>
      <c r="AF109" s="43" t="s">
        <v>502</v>
      </c>
      <c r="AG109" s="43" t="s">
        <v>1064</v>
      </c>
      <c r="AH109" s="39" t="s">
        <v>527</v>
      </c>
      <c r="AI109" s="48" t="s">
        <v>529</v>
      </c>
    </row>
    <row r="110" spans="1:35" ht="18" thickBot="1" x14ac:dyDescent="0.4">
      <c r="A110" s="38" t="s">
        <v>126</v>
      </c>
      <c r="B110" s="39" t="s">
        <v>633</v>
      </c>
      <c r="C110" s="39" t="s">
        <v>179</v>
      </c>
      <c r="D110" s="43" t="s">
        <v>875</v>
      </c>
      <c r="E110" s="50" t="s">
        <v>876</v>
      </c>
      <c r="F110" s="42">
        <v>2.6</v>
      </c>
      <c r="G110" s="42" t="str">
        <f t="shared" si="21"/>
        <v>2-3km</v>
      </c>
      <c r="H110" s="43" t="s">
        <v>212</v>
      </c>
      <c r="I110" s="43">
        <v>11</v>
      </c>
      <c r="J110" s="44">
        <v>138</v>
      </c>
      <c r="K110" s="44" t="str">
        <f t="shared" si="22"/>
        <v>Econômico</v>
      </c>
      <c r="L110" s="43" t="s">
        <v>215</v>
      </c>
      <c r="M110" s="43" t="s">
        <v>218</v>
      </c>
      <c r="N110" s="43" t="s">
        <v>225</v>
      </c>
      <c r="O110" s="43">
        <v>4.3</v>
      </c>
      <c r="P110" s="45">
        <f>(Tabela1[Avaliação Média (0-5)] * 20) / Tabela1[Preço Médio da Diária (R$)] * 10</f>
        <v>6.2318840579710146</v>
      </c>
      <c r="Q110" s="42" t="str">
        <f t="shared" si="25"/>
        <v>Excelente</v>
      </c>
      <c r="R110" s="43"/>
      <c r="S110" s="46" t="s">
        <v>241</v>
      </c>
      <c r="T110" s="43">
        <f t="shared" si="26"/>
        <v>1</v>
      </c>
      <c r="U110" s="46">
        <f t="shared" si="27"/>
        <v>0</v>
      </c>
      <c r="V110" s="46">
        <f>IF(OR(ISNUMBER(FIND("café da manhã",S110)), ISNUMBER(FIND("café da manha",O110)), ISNUMBER(FIND("cafe da manha",S110)), ISNUMBER(FIND("café da amanhã incluído",S110))), 1, 0)</f>
        <v>0</v>
      </c>
      <c r="W110" s="46">
        <f>IF(OR(ISNUMBER(FIND("estacionamento",S110)),ISNUMBER(FIND("estaciona",S110))), 1, 0)</f>
        <v>0</v>
      </c>
      <c r="X110" s="43">
        <f>IF(OR(ISNUMBER(FIND("serviço de quarto",S110)), ISNUMBER(FIND("servico de quarto",O110)), ISNUMBER(FIND("room service",S110))), 1, 0)</f>
        <v>0</v>
      </c>
      <c r="Y110" s="43">
        <f>IF(OR(ISNUMBER(FIND("restaurante",S110)), ISNUMBER(FIND("bar",S110))), 1, 0)</f>
        <v>0</v>
      </c>
      <c r="Z110" s="43">
        <f>IF(OR(ISNUMBER(FIND("academia",S110)), ISNUMBER(FIND("fitness",S110)), ISNUMBER(FIND("ginásio",S110))), 1, 0)</f>
        <v>0</v>
      </c>
      <c r="AA110" s="43">
        <f>IF(ISNUMBER(FIND("piscina",S110)), 1, 0)</f>
        <v>0</v>
      </c>
      <c r="AB110" s="43">
        <f>IF(OR(ISNUMBER(FIND("acessível",S110)),ISNUMBER(FIND("deficiência",S110)), ISNUMBER(FIND("cadeirante",S110)), ISNUMBER(FIND("PCD",S110))), 1, 0)</f>
        <v>0</v>
      </c>
      <c r="AC110" s="43">
        <f t="shared" si="28"/>
        <v>1</v>
      </c>
      <c r="AD110" s="46" t="s">
        <v>355</v>
      </c>
      <c r="AE110" s="43" t="s">
        <v>436</v>
      </c>
      <c r="AF110" s="43" t="s">
        <v>503</v>
      </c>
      <c r="AG110" s="43" t="s">
        <v>1064</v>
      </c>
      <c r="AH110" s="39" t="s">
        <v>527</v>
      </c>
      <c r="AI110" s="48" t="s">
        <v>529</v>
      </c>
    </row>
    <row r="111" spans="1:35" ht="18" thickBot="1" x14ac:dyDescent="0.4">
      <c r="A111" s="38" t="s">
        <v>127</v>
      </c>
      <c r="B111" s="39" t="s">
        <v>634</v>
      </c>
      <c r="C111" s="39" t="s">
        <v>179</v>
      </c>
      <c r="D111" s="43" t="s">
        <v>877</v>
      </c>
      <c r="E111" s="50" t="s">
        <v>878</v>
      </c>
      <c r="F111" s="42">
        <v>1.8</v>
      </c>
      <c r="G111" s="42" t="str">
        <f t="shared" si="21"/>
        <v>1-2km</v>
      </c>
      <c r="H111" s="43" t="s">
        <v>212</v>
      </c>
      <c r="I111" s="43">
        <v>31</v>
      </c>
      <c r="J111" s="44">
        <v>120</v>
      </c>
      <c r="K111" s="44" t="str">
        <f t="shared" si="22"/>
        <v>Econômico</v>
      </c>
      <c r="L111" s="43" t="s">
        <v>215</v>
      </c>
      <c r="M111" s="43" t="s">
        <v>219</v>
      </c>
      <c r="N111" s="43" t="s">
        <v>220</v>
      </c>
      <c r="O111" s="43">
        <v>4.4000000000000004</v>
      </c>
      <c r="P111" s="45">
        <f>(Tabela1[Avaliação Média (0-5)] * 20) / Tabela1[Preço Médio da Diária (R$)] * 10</f>
        <v>7.333333333333333</v>
      </c>
      <c r="Q111" s="42" t="str">
        <f t="shared" si="25"/>
        <v>Excelente</v>
      </c>
      <c r="R111" s="43"/>
      <c r="S111" s="46" t="s">
        <v>242</v>
      </c>
      <c r="T111" s="43">
        <f t="shared" si="26"/>
        <v>1</v>
      </c>
      <c r="U111" s="46">
        <f t="shared" si="27"/>
        <v>0</v>
      </c>
      <c r="V111" s="46">
        <f>IF(OR(ISNUMBER(FIND("café da manhã",S111)), ISNUMBER(FIND("café da manha",O111)), ISNUMBER(FIND("cafe da manha",S111)), ISNUMBER(FIND("café da amanhã incluído",S111))), 1, 0)</f>
        <v>0</v>
      </c>
      <c r="W111" s="46">
        <f>IF(OR(ISNUMBER(FIND("estacionamento",S111)),ISNUMBER(FIND("estaciona",S111))), 1, 0)</f>
        <v>0</v>
      </c>
      <c r="X111" s="43">
        <f>IF(OR(ISNUMBER(FIND("serviço de quarto",S111)), ISNUMBER(FIND("servico de quarto",O111)), ISNUMBER(FIND("room service",S111))), 1, 0)</f>
        <v>0</v>
      </c>
      <c r="Y111" s="43">
        <f t="shared" si="31"/>
        <v>1</v>
      </c>
      <c r="Z111" s="43">
        <f>IF(OR(ISNUMBER(FIND("academia",S111)), ISNUMBER(FIND("fitness",S111)), ISNUMBER(FIND("ginásio",S111))), 1, 0)</f>
        <v>0</v>
      </c>
      <c r="AA111" s="43">
        <f>IF(ISNUMBER(FIND("piscina",S111)), 1, 0)</f>
        <v>0</v>
      </c>
      <c r="AB111" s="43">
        <f>IF(OR(ISNUMBER(FIND("acessível",S111)),ISNUMBER(FIND("deficiência",S111)), ISNUMBER(FIND("cadeirante",S111)), ISNUMBER(FIND("PCD",S111))), 1, 0)</f>
        <v>0</v>
      </c>
      <c r="AC111" s="43">
        <f t="shared" si="28"/>
        <v>1</v>
      </c>
      <c r="AD111" s="46" t="s">
        <v>356</v>
      </c>
      <c r="AE111" s="43" t="s">
        <v>436</v>
      </c>
      <c r="AF111" s="43" t="s">
        <v>503</v>
      </c>
      <c r="AG111" s="43" t="s">
        <v>1064</v>
      </c>
      <c r="AH111" s="39" t="s">
        <v>527</v>
      </c>
      <c r="AI111" s="48" t="s">
        <v>529</v>
      </c>
    </row>
    <row r="112" spans="1:35" ht="18" thickBot="1" x14ac:dyDescent="0.4">
      <c r="A112" s="38" t="s">
        <v>128</v>
      </c>
      <c r="B112" s="39" t="s">
        <v>635</v>
      </c>
      <c r="C112" s="39" t="s">
        <v>204</v>
      </c>
      <c r="D112" s="43" t="s">
        <v>879</v>
      </c>
      <c r="E112" s="50" t="s">
        <v>880</v>
      </c>
      <c r="F112" s="42">
        <v>1.1000000000000001</v>
      </c>
      <c r="G112" s="42" t="str">
        <f t="shared" si="21"/>
        <v>1-2km</v>
      </c>
      <c r="H112" s="43" t="s">
        <v>212</v>
      </c>
      <c r="I112" s="43">
        <v>6</v>
      </c>
      <c r="J112" s="44">
        <v>173</v>
      </c>
      <c r="K112" s="44" t="str">
        <f t="shared" si="22"/>
        <v>Econômico</v>
      </c>
      <c r="L112" s="43" t="s">
        <v>215</v>
      </c>
      <c r="M112" s="43" t="s">
        <v>218</v>
      </c>
      <c r="N112" s="43" t="s">
        <v>220</v>
      </c>
      <c r="O112" s="43">
        <v>4.7</v>
      </c>
      <c r="P112" s="45">
        <f>(Tabela1[Avaliação Média (0-5)] * 20) / Tabela1[Preço Médio da Diária (R$)] * 10</f>
        <v>5.4335260115606934</v>
      </c>
      <c r="Q112" s="42" t="str">
        <f t="shared" si="25"/>
        <v>Bom</v>
      </c>
      <c r="R112" s="43"/>
      <c r="S112" s="46" t="s">
        <v>243</v>
      </c>
      <c r="T112" s="43">
        <f t="shared" si="26"/>
        <v>1</v>
      </c>
      <c r="U112" s="46">
        <f t="shared" si="27"/>
        <v>0</v>
      </c>
      <c r="V112" s="46">
        <f>IF(OR(ISNUMBER(FIND("café da manhã",S112)), ISNUMBER(FIND("café da manha",O112)), ISNUMBER(FIND("cafe da manha",S112)), ISNUMBER(FIND("café da amanhã incluído",S112))), 1, 0)</f>
        <v>0</v>
      </c>
      <c r="W112" s="46">
        <f>IF(OR(ISNUMBER(FIND("estacionamento",S112)),ISNUMBER(FIND("estaciona",S112))), 1, 0)</f>
        <v>0</v>
      </c>
      <c r="X112" s="43">
        <f>IF(OR(ISNUMBER(FIND("serviço de quarto",S112)), ISNUMBER(FIND("servico de quarto",O112)), ISNUMBER(FIND("room service",S112))), 1, 0)</f>
        <v>0</v>
      </c>
      <c r="Y112" s="43">
        <f>IF(OR(ISNUMBER(FIND("restaurante",S112)), ISNUMBER(FIND("bar",S112))), 1, 0)</f>
        <v>0</v>
      </c>
      <c r="Z112" s="43">
        <f>IF(OR(ISNUMBER(FIND("academia",S112)), ISNUMBER(FIND("fitness",S112)), ISNUMBER(FIND("ginásio",S112))), 1, 0)</f>
        <v>0</v>
      </c>
      <c r="AA112" s="43">
        <f>IF(ISNUMBER(FIND("piscina",S112)), 1, 0)</f>
        <v>0</v>
      </c>
      <c r="AB112" s="43">
        <f>IF(OR(ISNUMBER(FIND("acessível",S112)),ISNUMBER(FIND("deficiência",S112)), ISNUMBER(FIND("cadeirante",S112)), ISNUMBER(FIND("PCD",S112))), 1, 0)</f>
        <v>0</v>
      </c>
      <c r="AC112" s="43">
        <f t="shared" si="28"/>
        <v>1</v>
      </c>
      <c r="AD112" s="46" t="s">
        <v>357</v>
      </c>
      <c r="AE112" s="43" t="s">
        <v>436</v>
      </c>
      <c r="AF112" s="43" t="s">
        <v>503</v>
      </c>
      <c r="AG112" s="43" t="s">
        <v>1064</v>
      </c>
      <c r="AH112" s="39" t="s">
        <v>527</v>
      </c>
      <c r="AI112" s="48" t="s">
        <v>529</v>
      </c>
    </row>
    <row r="113" spans="1:35" ht="18" thickBot="1" x14ac:dyDescent="0.4">
      <c r="A113" s="38" t="s">
        <v>129</v>
      </c>
      <c r="B113" s="39" t="s">
        <v>636</v>
      </c>
      <c r="C113" s="39" t="s">
        <v>204</v>
      </c>
      <c r="D113" s="43" t="s">
        <v>881</v>
      </c>
      <c r="E113" s="50" t="s">
        <v>882</v>
      </c>
      <c r="F113" s="42">
        <v>1.2</v>
      </c>
      <c r="G113" s="42" t="str">
        <f t="shared" si="21"/>
        <v>1-2km</v>
      </c>
      <c r="H113" s="43" t="s">
        <v>212</v>
      </c>
      <c r="I113" s="43">
        <v>14</v>
      </c>
      <c r="J113" s="44">
        <v>111</v>
      </c>
      <c r="K113" s="44" t="str">
        <f t="shared" si="22"/>
        <v>Econômico</v>
      </c>
      <c r="L113" s="43" t="s">
        <v>215</v>
      </c>
      <c r="M113" s="43" t="s">
        <v>226</v>
      </c>
      <c r="N113" s="43" t="s">
        <v>220</v>
      </c>
      <c r="O113" s="43">
        <v>3.9</v>
      </c>
      <c r="P113" s="45">
        <f>(Tabela1[Avaliação Média (0-5)] * 20) / Tabela1[Preço Médio da Diária (R$)] * 10</f>
        <v>7.0270270270270272</v>
      </c>
      <c r="Q113" s="42" t="str">
        <f t="shared" si="25"/>
        <v>Excelente</v>
      </c>
      <c r="R113" s="43"/>
      <c r="S113" s="46" t="s">
        <v>244</v>
      </c>
      <c r="T113" s="43">
        <f t="shared" si="26"/>
        <v>1</v>
      </c>
      <c r="U113" s="46">
        <f t="shared" si="27"/>
        <v>0</v>
      </c>
      <c r="V113" s="46">
        <f>IF(OR(ISNUMBER(FIND("café da manhã",S113)), ISNUMBER(FIND("café da manha",O113)), ISNUMBER(FIND("cafe da manha",S113)), ISNUMBER(FIND("café da amanhã incluído",S113))), 1, 0)</f>
        <v>0</v>
      </c>
      <c r="W113" s="46">
        <f>IF(OR(ISNUMBER(FIND("estacionamento",S113)),ISNUMBER(FIND("estaciona",S113))), 1, 0)</f>
        <v>0</v>
      </c>
      <c r="X113" s="43">
        <f>IF(OR(ISNUMBER(FIND("serviço de quarto",S113)), ISNUMBER(FIND("servico de quarto",O113)), ISNUMBER(FIND("room service",S113))), 1, 0)</f>
        <v>0</v>
      </c>
      <c r="Y113" s="43">
        <f>IF(OR(ISNUMBER(FIND("restaurante",S113)), ISNUMBER(FIND("bar",S113))), 1, 0)</f>
        <v>0</v>
      </c>
      <c r="Z113" s="43">
        <f>IF(OR(ISNUMBER(FIND("academia",S113)), ISNUMBER(FIND("fitness",S113)), ISNUMBER(FIND("ginásio",S113))), 1, 0)</f>
        <v>0</v>
      </c>
      <c r="AA113" s="43">
        <f>IF(ISNUMBER(FIND("piscina",S113)), 1, 0)</f>
        <v>0</v>
      </c>
      <c r="AB113" s="43">
        <f>IF(OR(ISNUMBER(FIND("acessível",S113)),ISNUMBER(FIND("deficiência",S113)), ISNUMBER(FIND("cadeirante",S113)), ISNUMBER(FIND("PCD",S113))), 1, 0)</f>
        <v>0</v>
      </c>
      <c r="AC113" s="43">
        <f t="shared" si="28"/>
        <v>1</v>
      </c>
      <c r="AD113" s="46" t="s">
        <v>358</v>
      </c>
      <c r="AE113" s="43" t="s">
        <v>436</v>
      </c>
      <c r="AF113" s="43" t="s">
        <v>504</v>
      </c>
      <c r="AG113" s="43" t="s">
        <v>1064</v>
      </c>
      <c r="AH113" s="39" t="s">
        <v>527</v>
      </c>
      <c r="AI113" s="48" t="s">
        <v>529</v>
      </c>
    </row>
    <row r="114" spans="1:35" ht="18" thickBot="1" x14ac:dyDescent="0.4">
      <c r="A114" s="38" t="s">
        <v>130</v>
      </c>
      <c r="B114" s="39" t="s">
        <v>637</v>
      </c>
      <c r="C114" s="39" t="s">
        <v>192</v>
      </c>
      <c r="D114" s="43" t="s">
        <v>883</v>
      </c>
      <c r="E114" s="50" t="s">
        <v>884</v>
      </c>
      <c r="F114" s="42">
        <v>2.1</v>
      </c>
      <c r="G114" s="42" t="str">
        <f t="shared" si="21"/>
        <v>2-3km</v>
      </c>
      <c r="H114" s="43" t="s">
        <v>211</v>
      </c>
      <c r="I114" s="43">
        <v>13</v>
      </c>
      <c r="J114" s="44">
        <v>200</v>
      </c>
      <c r="K114" s="44" t="str">
        <f t="shared" si="22"/>
        <v>Médio</v>
      </c>
      <c r="L114" s="43" t="s">
        <v>215</v>
      </c>
      <c r="M114" s="43" t="s">
        <v>220</v>
      </c>
      <c r="N114" s="43" t="s">
        <v>220</v>
      </c>
      <c r="O114" s="43">
        <v>4.4000000000000004</v>
      </c>
      <c r="P114" s="45">
        <f>(Tabela1[Avaliação Média (0-5)] * 20) / Tabela1[Preço Médio da Diária (R$)] * 10</f>
        <v>4.4000000000000004</v>
      </c>
      <c r="Q114" s="42" t="str">
        <f t="shared" si="25"/>
        <v>Bom</v>
      </c>
      <c r="R114" s="43"/>
      <c r="S114" s="46" t="s">
        <v>1015</v>
      </c>
      <c r="T114" s="43">
        <f t="shared" si="26"/>
        <v>1</v>
      </c>
      <c r="U114" s="46">
        <f t="shared" si="27"/>
        <v>1</v>
      </c>
      <c r="V114" s="46">
        <f>IF(OR(ISNUMBER(FIND("café da manhã",S114)), ISNUMBER(FIND("café da manha",O114)), ISNUMBER(FIND("cafe da manha",S114)), ISNUMBER(FIND("café da amanhã incluído",S114))), 1, 0)</f>
        <v>0</v>
      </c>
      <c r="W114" s="46">
        <f>IF(OR(ISNUMBER(FIND("estacionamento",S114)),ISNUMBER(FIND("estaciona",S114))), 1, 0)</f>
        <v>1</v>
      </c>
      <c r="X114" s="43">
        <f>IF(OR(ISNUMBER(FIND("serviço de quarto",S114)), ISNUMBER(FIND("servico de quarto",O114)), ISNUMBER(FIND("room service",S114))), 1, 0)</f>
        <v>1</v>
      </c>
      <c r="Y114" s="43">
        <f>IF(OR(ISNUMBER(FIND("restaurante",S114)), ISNUMBER(FIND("bar",S114))), 1, 0)</f>
        <v>0</v>
      </c>
      <c r="Z114" s="43">
        <f>IF(OR(ISNUMBER(FIND("academia",S114)), ISNUMBER(FIND("fitness",S114)), ISNUMBER(FIND("ginásio",S114))), 1, 0)</f>
        <v>0</v>
      </c>
      <c r="AA114" s="43">
        <f>IF(ISNUMBER(FIND("piscina",S114)), 1, 0)</f>
        <v>0</v>
      </c>
      <c r="AB114" s="43">
        <f>IF(OR(ISNUMBER(FIND("acessível",S114)),ISNUMBER(FIND("deficiência",S114)), ISNUMBER(FIND("cadeirante",S114)), ISNUMBER(FIND("PCD",S114))), 1, 0)</f>
        <v>0</v>
      </c>
      <c r="AC114" s="43">
        <f t="shared" si="28"/>
        <v>1</v>
      </c>
      <c r="AD114" s="46" t="s">
        <v>359</v>
      </c>
      <c r="AE114" s="43" t="s">
        <v>436</v>
      </c>
      <c r="AF114" s="43" t="s">
        <v>505</v>
      </c>
      <c r="AG114" s="43" t="s">
        <v>1064</v>
      </c>
      <c r="AH114" s="39" t="s">
        <v>527</v>
      </c>
      <c r="AI114" s="48" t="s">
        <v>529</v>
      </c>
    </row>
    <row r="115" spans="1:35" ht="18" thickBot="1" x14ac:dyDescent="0.4">
      <c r="A115" s="38" t="s">
        <v>131</v>
      </c>
      <c r="B115" s="39" t="s">
        <v>638</v>
      </c>
      <c r="C115" s="39" t="s">
        <v>189</v>
      </c>
      <c r="D115" s="43" t="s">
        <v>885</v>
      </c>
      <c r="E115" s="50" t="s">
        <v>886</v>
      </c>
      <c r="F115" s="42">
        <v>2.1</v>
      </c>
      <c r="G115" s="42" t="str">
        <f t="shared" si="21"/>
        <v>2-3km</v>
      </c>
      <c r="H115" s="43" t="s">
        <v>211</v>
      </c>
      <c r="I115" s="43">
        <v>94</v>
      </c>
      <c r="J115" s="44">
        <v>339</v>
      </c>
      <c r="K115" s="44" t="str">
        <f t="shared" si="22"/>
        <v>Médio</v>
      </c>
      <c r="L115" s="43" t="s">
        <v>215</v>
      </c>
      <c r="M115" s="43" t="s">
        <v>218</v>
      </c>
      <c r="N115" s="43" t="s">
        <v>229</v>
      </c>
      <c r="O115" s="43">
        <v>4.4000000000000004</v>
      </c>
      <c r="P115" s="45">
        <f>(Tabela1[Avaliação Média (0-5)] * 20) / Tabela1[Preço Médio da Diária (R$)] * 10</f>
        <v>2.5958702064896757</v>
      </c>
      <c r="Q115" s="42" t="str">
        <f t="shared" si="25"/>
        <v>Regular</v>
      </c>
      <c r="R115" s="43">
        <v>3</v>
      </c>
      <c r="S115" s="46" t="s">
        <v>990</v>
      </c>
      <c r="T115" s="43">
        <f t="shared" si="26"/>
        <v>1</v>
      </c>
      <c r="U115" s="46">
        <f t="shared" si="27"/>
        <v>1</v>
      </c>
      <c r="V115" s="46">
        <f>IF(OR(ISNUMBER(FIND("café da manhã",S115)), ISNUMBER(FIND("café da manha",O115)), ISNUMBER(FIND("cafe da manha",S115)), ISNUMBER(FIND("café da amanhã incluído",S115))), 1, 0)</f>
        <v>1</v>
      </c>
      <c r="W115" s="46">
        <f>IF(OR(ISNUMBER(FIND("estacionamento",S115)),ISNUMBER(FIND("estaciona",S115))), 1, 0)</f>
        <v>1</v>
      </c>
      <c r="X115" s="43">
        <f>IF(OR(ISNUMBER(FIND("serviço de quarto",S115)), ISNUMBER(FIND("servico de quarto",O115)), ISNUMBER(FIND("room service",S115))), 1, 0)</f>
        <v>0</v>
      </c>
      <c r="Y115" s="43">
        <f>IF(OR(ISNUMBER(FIND("restaurante",S115)), ISNUMBER(FIND("bar",S115))), 1, 0)</f>
        <v>0</v>
      </c>
      <c r="Z115" s="43">
        <f>IF(OR(ISNUMBER(FIND("academia",S115)), ISNUMBER(FIND("fitness",S115)), ISNUMBER(FIND("ginásio",S115))), 1, 0)</f>
        <v>0</v>
      </c>
      <c r="AA115" s="43">
        <f>IF(ISNUMBER(FIND("piscina",S115)), 1, 0)</f>
        <v>0</v>
      </c>
      <c r="AB115" s="43">
        <f>IF(OR(ISNUMBER(FIND("acessível",S115)),ISNUMBER(FIND("deficiência",S115)), ISNUMBER(FIND("cadeirante",S115)), ISNUMBER(FIND("PCD",S115))), 1, 0)</f>
        <v>0</v>
      </c>
      <c r="AC115" s="43">
        <f t="shared" si="28"/>
        <v>1</v>
      </c>
      <c r="AD115" s="46" t="s">
        <v>360</v>
      </c>
      <c r="AE115" s="43" t="s">
        <v>450</v>
      </c>
      <c r="AF115" s="43" t="s">
        <v>506</v>
      </c>
      <c r="AG115" s="43" t="s">
        <v>1064</v>
      </c>
      <c r="AH115" s="39" t="s">
        <v>527</v>
      </c>
      <c r="AI115" s="48" t="s">
        <v>529</v>
      </c>
    </row>
    <row r="116" spans="1:35" ht="15" hidden="1" thickBot="1" x14ac:dyDescent="0.4">
      <c r="A116" s="12" t="s">
        <v>132</v>
      </c>
      <c r="B116" s="1" t="s">
        <v>639</v>
      </c>
      <c r="C116" s="1" t="s">
        <v>187</v>
      </c>
      <c r="D116" s="3" t="s">
        <v>887</v>
      </c>
      <c r="E116" s="4" t="s">
        <v>888</v>
      </c>
      <c r="F116" s="6">
        <v>1.7</v>
      </c>
      <c r="G116" s="6" t="str">
        <f t="shared" si="21"/>
        <v>1-2km</v>
      </c>
      <c r="H116" s="8" t="s">
        <v>211</v>
      </c>
      <c r="I116" s="8">
        <v>58</v>
      </c>
      <c r="J116" s="9">
        <v>286</v>
      </c>
      <c r="K116" s="9" t="str">
        <f t="shared" si="22"/>
        <v>Médio</v>
      </c>
      <c r="L116" s="8" t="s">
        <v>215</v>
      </c>
      <c r="M116" s="8" t="s">
        <v>218</v>
      </c>
      <c r="N116" s="8" t="s">
        <v>225</v>
      </c>
      <c r="O116" s="8">
        <v>4.4000000000000004</v>
      </c>
      <c r="P116" s="28">
        <f>(Tabela1[Avaliação Média (0-5)] * 20) / Tabela1[Preço Médio da Diária (R$)] * 10</f>
        <v>3.0769230769230771</v>
      </c>
      <c r="Q116" s="28" t="str">
        <f t="shared" si="25"/>
        <v>Regular</v>
      </c>
      <c r="R116" s="8">
        <v>3</v>
      </c>
      <c r="S116" s="31" t="s">
        <v>1037</v>
      </c>
      <c r="T116" s="8">
        <f t="shared" si="26"/>
        <v>1</v>
      </c>
      <c r="U116" s="31">
        <f t="shared" si="27"/>
        <v>1</v>
      </c>
      <c r="V116" s="31">
        <f>IF(OR(ISNUMBER(FIND("café da manhã",S116)), ISNUMBER(FIND("café da manha",O116)), ISNUMBER(FIND("cafe da manha",S116)), ISNUMBER(FIND("café da amanhã incluído",S116))), 1, 0)</f>
        <v>1</v>
      </c>
      <c r="W116" s="31">
        <f>IF(OR(ISNUMBER(FIND("estacionamento",S116)),ISNUMBER(FIND("estaciona",S116))), 1, 0)</f>
        <v>0</v>
      </c>
      <c r="X116" s="8">
        <f>IF(OR(ISNUMBER(FIND("serviço de quarto",S116)), ISNUMBER(FIND("servico de quarto",O116)), ISNUMBER(FIND("room service",S116))), 1, 0)</f>
        <v>1</v>
      </c>
      <c r="Y116" s="8">
        <f>IF(OR(ISNUMBER(FIND("restaurante",S116)), ISNUMBER(FIND("bar",S116))), 1, 0)</f>
        <v>0</v>
      </c>
      <c r="Z116" s="8">
        <f>IF(OR(ISNUMBER(FIND("academia",S116)), ISNUMBER(FIND("fitness",S116)), ISNUMBER(FIND("ginásio",S116))), 1, 0)</f>
        <v>1</v>
      </c>
      <c r="AA116" s="8">
        <f t="shared" si="29"/>
        <v>0</v>
      </c>
      <c r="AB116" s="8">
        <f t="shared" si="30"/>
        <v>0</v>
      </c>
      <c r="AC116" s="8">
        <f t="shared" si="28"/>
        <v>1</v>
      </c>
      <c r="AD116" s="31" t="s">
        <v>361</v>
      </c>
      <c r="AE116" s="8" t="s">
        <v>451</v>
      </c>
      <c r="AF116" s="8" t="s">
        <v>506</v>
      </c>
      <c r="AG116" s="8" t="s">
        <v>524</v>
      </c>
      <c r="AH116" s="1" t="s">
        <v>527</v>
      </c>
      <c r="AI116" s="13" t="s">
        <v>529</v>
      </c>
    </row>
    <row r="117" spans="1:35" ht="18" thickBot="1" x14ac:dyDescent="0.4">
      <c r="A117" s="38" t="s">
        <v>133</v>
      </c>
      <c r="B117" s="39" t="s">
        <v>640</v>
      </c>
      <c r="C117" s="39" t="s">
        <v>187</v>
      </c>
      <c r="D117" s="43" t="s">
        <v>889</v>
      </c>
      <c r="E117" s="50" t="s">
        <v>890</v>
      </c>
      <c r="F117" s="42">
        <v>1.6</v>
      </c>
      <c r="G117" s="42" t="str">
        <f t="shared" si="21"/>
        <v>1-2km</v>
      </c>
      <c r="H117" s="43" t="s">
        <v>211</v>
      </c>
      <c r="I117" s="43">
        <v>39</v>
      </c>
      <c r="J117" s="44">
        <v>250</v>
      </c>
      <c r="K117" s="44" t="str">
        <f t="shared" si="22"/>
        <v>Médio</v>
      </c>
      <c r="L117" s="43" t="s">
        <v>216</v>
      </c>
      <c r="M117" s="43" t="s">
        <v>227</v>
      </c>
      <c r="N117" s="43" t="s">
        <v>227</v>
      </c>
      <c r="O117" s="43">
        <v>3.9</v>
      </c>
      <c r="P117" s="45">
        <f>(Tabela1[Avaliação Média (0-5)] * 20) / Tabela1[Preço Médio da Diária (R$)] * 10</f>
        <v>3.12</v>
      </c>
      <c r="Q117" s="42" t="str">
        <f t="shared" si="25"/>
        <v>Regular</v>
      </c>
      <c r="R117" s="43">
        <v>3</v>
      </c>
      <c r="S117" s="46" t="s">
        <v>1016</v>
      </c>
      <c r="T117" s="43">
        <f t="shared" si="26"/>
        <v>1</v>
      </c>
      <c r="U117" s="46">
        <f t="shared" si="27"/>
        <v>1</v>
      </c>
      <c r="V117" s="46">
        <f>IF(OR(ISNUMBER(FIND("café da manhã",S117)), ISNUMBER(FIND("café da manha",O117)), ISNUMBER(FIND("cafe da manha",S117)), ISNUMBER(FIND("café da amanhã incluído",S117))), 1, 0)</f>
        <v>1</v>
      </c>
      <c r="W117" s="46">
        <f>IF(OR(ISNUMBER(FIND("estacionamento",S117)),ISNUMBER(FIND("estaciona",S117))), 1, 0)</f>
        <v>0</v>
      </c>
      <c r="X117" s="43">
        <f>IF(OR(ISNUMBER(FIND("serviço de quarto",S117)), ISNUMBER(FIND("servico de quarto",O117)), ISNUMBER(FIND("room service",S117))), 1, 0)</f>
        <v>1</v>
      </c>
      <c r="Y117" s="43">
        <f>IF(OR(ISNUMBER(FIND("restaurante",S117)), ISNUMBER(FIND("bar",S117))), 1, 0)</f>
        <v>0</v>
      </c>
      <c r="Z117" s="43">
        <f>IF(OR(ISNUMBER(FIND("academia",S117)), ISNUMBER(FIND("fitness",S117)), ISNUMBER(FIND("ginásio",S117))), 1, 0)</f>
        <v>0</v>
      </c>
      <c r="AA117" s="43">
        <f>IF(ISNUMBER(FIND("piscina",S117)), 1, 0)</f>
        <v>0</v>
      </c>
      <c r="AB117" s="43">
        <f>IF(OR(ISNUMBER(FIND("acessível",S117)),ISNUMBER(FIND("deficiência",S117)), ISNUMBER(FIND("cadeirante",S117)), ISNUMBER(FIND("PCD",S117))), 1, 0)</f>
        <v>0</v>
      </c>
      <c r="AC117" s="43">
        <f t="shared" si="28"/>
        <v>1</v>
      </c>
      <c r="AD117" s="46" t="s">
        <v>362</v>
      </c>
      <c r="AE117" s="43" t="s">
        <v>448</v>
      </c>
      <c r="AF117" s="43" t="s">
        <v>507</v>
      </c>
      <c r="AG117" s="43" t="s">
        <v>1064</v>
      </c>
      <c r="AH117" s="39" t="s">
        <v>527</v>
      </c>
      <c r="AI117" s="48" t="s">
        <v>529</v>
      </c>
    </row>
    <row r="118" spans="1:35" ht="18" thickBot="1" x14ac:dyDescent="0.4">
      <c r="A118" s="38" t="s">
        <v>134</v>
      </c>
      <c r="B118" s="39" t="s">
        <v>641</v>
      </c>
      <c r="C118" s="39" t="s">
        <v>178</v>
      </c>
      <c r="D118" s="43" t="s">
        <v>796</v>
      </c>
      <c r="E118" s="50" t="s">
        <v>891</v>
      </c>
      <c r="F118" s="42">
        <v>0.7</v>
      </c>
      <c r="G118" s="42" t="str">
        <f t="shared" si="21"/>
        <v>Até 1km</v>
      </c>
      <c r="H118" s="43" t="s">
        <v>211</v>
      </c>
      <c r="I118" s="43">
        <v>18</v>
      </c>
      <c r="J118" s="44">
        <v>235</v>
      </c>
      <c r="K118" s="44" t="str">
        <f t="shared" si="22"/>
        <v>Médio</v>
      </c>
      <c r="L118" s="43" t="s">
        <v>215</v>
      </c>
      <c r="M118" s="43" t="s">
        <v>218</v>
      </c>
      <c r="N118" s="43" t="s">
        <v>220</v>
      </c>
      <c r="O118" s="43">
        <v>4.4000000000000004</v>
      </c>
      <c r="P118" s="45">
        <f>(Tabela1[Avaliação Média (0-5)] * 20) / Tabela1[Preço Médio da Diária (R$)] * 10</f>
        <v>3.7446808510638299</v>
      </c>
      <c r="Q118" s="42" t="str">
        <f t="shared" si="25"/>
        <v>Regular</v>
      </c>
      <c r="R118" s="43"/>
      <c r="S118" s="46" t="s">
        <v>1058</v>
      </c>
      <c r="T118" s="43">
        <f t="shared" si="26"/>
        <v>1</v>
      </c>
      <c r="U118" s="46">
        <f t="shared" si="27"/>
        <v>1</v>
      </c>
      <c r="V118" s="46">
        <f>IF(OR(ISNUMBER(FIND("café da manhã",S118)), ISNUMBER(FIND("café da manha",O118)), ISNUMBER(FIND("cafe da manha",S118)), ISNUMBER(FIND("café da amanhã incluído",S118))), 1, 0)</f>
        <v>0</v>
      </c>
      <c r="W118" s="46">
        <f>IF(OR(ISNUMBER(FIND("estacionamento",S118)),ISNUMBER(FIND("estaciona",S118))), 1, 0)</f>
        <v>0</v>
      </c>
      <c r="X118" s="43">
        <f>IF(OR(ISNUMBER(FIND("serviço de quarto",S118)), ISNUMBER(FIND("servico de quarto",O118)), ISNUMBER(FIND("room service",S118))), 1, 0)</f>
        <v>0</v>
      </c>
      <c r="Y118" s="43">
        <f>IF(OR(ISNUMBER(FIND("restaurante",S118)), ISNUMBER(FIND("bar",S118))), 1, 0)</f>
        <v>0</v>
      </c>
      <c r="Z118" s="43">
        <f>IF(OR(ISNUMBER(FIND("academia",S118)), ISNUMBER(FIND("fitness",S118)), ISNUMBER(FIND("ginásio",S118))), 1, 0)</f>
        <v>0</v>
      </c>
      <c r="AA118" s="43">
        <f>IF(ISNUMBER(FIND("piscina",S118)), 1, 0)</f>
        <v>0</v>
      </c>
      <c r="AB118" s="43">
        <f>IF(OR(ISNUMBER(FIND("acessível",S118)),ISNUMBER(FIND("deficiência",S118)), ISNUMBER(FIND("cadeirante",S118)), ISNUMBER(FIND("PCD",S118))), 1, 0)</f>
        <v>1</v>
      </c>
      <c r="AC118" s="43">
        <f t="shared" si="28"/>
        <v>1</v>
      </c>
      <c r="AD118" s="46" t="s">
        <v>363</v>
      </c>
      <c r="AE118" s="43" t="s">
        <v>448</v>
      </c>
      <c r="AF118" s="43" t="s">
        <v>507</v>
      </c>
      <c r="AG118" s="43" t="s">
        <v>1064</v>
      </c>
      <c r="AH118" s="39" t="s">
        <v>527</v>
      </c>
      <c r="AI118" s="48" t="s">
        <v>529</v>
      </c>
    </row>
    <row r="119" spans="1:35" ht="15" hidden="1" thickBot="1" x14ac:dyDescent="0.4">
      <c r="A119" s="12" t="s">
        <v>135</v>
      </c>
      <c r="B119" s="1" t="s">
        <v>642</v>
      </c>
      <c r="C119" s="1" t="s">
        <v>205</v>
      </c>
      <c r="D119" s="3" t="s">
        <v>892</v>
      </c>
      <c r="E119" s="4" t="s">
        <v>893</v>
      </c>
      <c r="F119" s="6">
        <v>0.83</v>
      </c>
      <c r="G119" s="6" t="str">
        <f t="shared" si="21"/>
        <v>Até 1km</v>
      </c>
      <c r="H119" s="8" t="s">
        <v>211</v>
      </c>
      <c r="I119" s="8">
        <v>214</v>
      </c>
      <c r="J119" s="9">
        <v>232</v>
      </c>
      <c r="K119" s="9" t="str">
        <f t="shared" si="22"/>
        <v>Médio</v>
      </c>
      <c r="L119" s="8" t="s">
        <v>215</v>
      </c>
      <c r="M119" s="8" t="s">
        <v>218</v>
      </c>
      <c r="N119" s="8" t="s">
        <v>220</v>
      </c>
      <c r="O119" s="8">
        <v>4.3</v>
      </c>
      <c r="P119" s="28">
        <f>(Tabela1[Avaliação Média (0-5)] * 20) / Tabela1[Preço Médio da Diária (R$)] * 10</f>
        <v>3.7068965517241379</v>
      </c>
      <c r="Q119" s="28" t="str">
        <f t="shared" si="25"/>
        <v>Regular</v>
      </c>
      <c r="R119" s="8">
        <v>4</v>
      </c>
      <c r="S119" s="31" t="s">
        <v>946</v>
      </c>
      <c r="T119" s="8">
        <f t="shared" si="26"/>
        <v>1</v>
      </c>
      <c r="U119" s="31">
        <f t="shared" si="27"/>
        <v>1</v>
      </c>
      <c r="V119" s="31">
        <f>IF(OR(ISNUMBER(FIND("café da manhã",S119)), ISNUMBER(FIND("café da manha",O119)), ISNUMBER(FIND("cafe da manha",S119)), ISNUMBER(FIND("café da amanhã incluído",S119))), 1, 0)</f>
        <v>0</v>
      </c>
      <c r="W119" s="31">
        <f t="shared" ref="W119:W128" si="32">IF(OR(ISNUMBER(FIND("estacionamento",S119)),ISNUMBER(FIND("estaciona",S119))), 1, 0)</f>
        <v>1</v>
      </c>
      <c r="X119" s="8">
        <f>IF(OR(ISNUMBER(FIND("serviço de quarto",S119)), ISNUMBER(FIND("servico de quarto",O119)), ISNUMBER(FIND("room service",S119))), 1, 0)</f>
        <v>1</v>
      </c>
      <c r="Y119" s="8">
        <f t="shared" si="31"/>
        <v>1</v>
      </c>
      <c r="Z119" s="8">
        <f>IF(OR(ISNUMBER(FIND("academia",S119)), ISNUMBER(FIND("fitness",S119)), ISNUMBER(FIND("ginásio",S119))), 1, 0)</f>
        <v>1</v>
      </c>
      <c r="AA119" s="8">
        <f t="shared" si="29"/>
        <v>0</v>
      </c>
      <c r="AB119" s="8">
        <f t="shared" si="30"/>
        <v>1</v>
      </c>
      <c r="AC119" s="8">
        <f t="shared" si="28"/>
        <v>1</v>
      </c>
      <c r="AD119" s="31" t="s">
        <v>364</v>
      </c>
      <c r="AE119" s="8" t="s">
        <v>452</v>
      </c>
      <c r="AF119" s="8" t="s">
        <v>508</v>
      </c>
      <c r="AG119" s="8" t="s">
        <v>524</v>
      </c>
      <c r="AH119" s="1" t="s">
        <v>527</v>
      </c>
      <c r="AI119" s="13" t="s">
        <v>529</v>
      </c>
    </row>
    <row r="120" spans="1:35" ht="18" thickBot="1" x14ac:dyDescent="0.4">
      <c r="A120" s="38" t="s">
        <v>136</v>
      </c>
      <c r="B120" s="39" t="s">
        <v>643</v>
      </c>
      <c r="C120" s="39" t="s">
        <v>184</v>
      </c>
      <c r="D120" s="43" t="s">
        <v>894</v>
      </c>
      <c r="E120" s="50" t="s">
        <v>895</v>
      </c>
      <c r="F120" s="42">
        <v>1</v>
      </c>
      <c r="G120" s="42" t="str">
        <f t="shared" si="21"/>
        <v>1-2km</v>
      </c>
      <c r="H120" s="43" t="s">
        <v>211</v>
      </c>
      <c r="I120" s="43">
        <v>74</v>
      </c>
      <c r="J120" s="44">
        <v>205</v>
      </c>
      <c r="K120" s="44" t="str">
        <f t="shared" si="22"/>
        <v>Médio</v>
      </c>
      <c r="L120" s="43" t="s">
        <v>215</v>
      </c>
      <c r="M120" s="43" t="s">
        <v>217</v>
      </c>
      <c r="N120" s="43" t="s">
        <v>220</v>
      </c>
      <c r="O120" s="43">
        <v>3</v>
      </c>
      <c r="P120" s="45">
        <f>(Tabela1[Avaliação Média (0-5)] * 20) / Tabela1[Preço Médio da Diária (R$)] * 10</f>
        <v>2.9268292682926829</v>
      </c>
      <c r="Q120" s="42" t="str">
        <f t="shared" si="25"/>
        <v>Regular</v>
      </c>
      <c r="R120" s="43">
        <v>4</v>
      </c>
      <c r="S120" s="46" t="s">
        <v>953</v>
      </c>
      <c r="T120" s="43">
        <f t="shared" si="26"/>
        <v>1</v>
      </c>
      <c r="U120" s="46">
        <f t="shared" si="27"/>
        <v>0</v>
      </c>
      <c r="V120" s="46">
        <f>IF(OR(ISNUMBER(FIND("café da manhã",S120)), ISNUMBER(FIND("café da manha",O120)), ISNUMBER(FIND("cafe da manha",S120)), ISNUMBER(FIND("café da amanhã incluído",S120))), 1, 0)</f>
        <v>1</v>
      </c>
      <c r="W120" s="46">
        <f t="shared" si="32"/>
        <v>1</v>
      </c>
      <c r="X120" s="43">
        <f>IF(OR(ISNUMBER(FIND("serviço de quarto",S120)), ISNUMBER(FIND("servico de quarto",O120)), ISNUMBER(FIND("room service",S120))), 1, 0)</f>
        <v>0</v>
      </c>
      <c r="Y120" s="43">
        <f t="shared" si="31"/>
        <v>1</v>
      </c>
      <c r="Z120" s="43">
        <f>IF(OR(ISNUMBER(FIND("academia",S120)), ISNUMBER(FIND("fitness",S120)), ISNUMBER(FIND("ginásio",S120))), 1, 0)</f>
        <v>0</v>
      </c>
      <c r="AA120" s="43">
        <f>IF(ISNUMBER(FIND("piscina",S120)), 1, 0)</f>
        <v>0</v>
      </c>
      <c r="AB120" s="43">
        <f>IF(OR(ISNUMBER(FIND("acessível",S120)),ISNUMBER(FIND("deficiência",S120)), ISNUMBER(FIND("cadeirante",S120)), ISNUMBER(FIND("PCD",S120))), 1, 0)</f>
        <v>0</v>
      </c>
      <c r="AC120" s="43">
        <f t="shared" si="28"/>
        <v>1</v>
      </c>
      <c r="AD120" s="46" t="s">
        <v>365</v>
      </c>
      <c r="AE120" s="43" t="s">
        <v>453</v>
      </c>
      <c r="AF120" s="43" t="s">
        <v>509</v>
      </c>
      <c r="AG120" s="43" t="s">
        <v>1064</v>
      </c>
      <c r="AH120" s="39" t="s">
        <v>527</v>
      </c>
      <c r="AI120" s="48" t="s">
        <v>529</v>
      </c>
    </row>
    <row r="121" spans="1:35" ht="15" hidden="1" thickBot="1" x14ac:dyDescent="0.4">
      <c r="A121" s="12" t="s">
        <v>137</v>
      </c>
      <c r="B121" s="1" t="s">
        <v>653</v>
      </c>
      <c r="C121" s="1" t="s">
        <v>192</v>
      </c>
      <c r="D121" s="3" t="s">
        <v>896</v>
      </c>
      <c r="E121" s="4" t="s">
        <v>897</v>
      </c>
      <c r="F121" s="6">
        <v>1.6</v>
      </c>
      <c r="G121" s="6" t="str">
        <f t="shared" si="21"/>
        <v>1-2km</v>
      </c>
      <c r="H121" s="8" t="s">
        <v>211</v>
      </c>
      <c r="I121" s="8">
        <v>97</v>
      </c>
      <c r="J121" s="9">
        <v>421</v>
      </c>
      <c r="K121" s="9" t="str">
        <f t="shared" si="22"/>
        <v>Alto</v>
      </c>
      <c r="L121" s="8" t="s">
        <v>215</v>
      </c>
      <c r="M121" s="8" t="s">
        <v>218</v>
      </c>
      <c r="N121" s="8" t="s">
        <v>220</v>
      </c>
      <c r="O121" s="8">
        <v>4.5</v>
      </c>
      <c r="P121" s="28">
        <f>(Tabela1[Avaliação Média (0-5)] * 20) / Tabela1[Preço Médio da Diária (R$)] * 10</f>
        <v>2.1377672209026128</v>
      </c>
      <c r="Q121" s="28" t="str">
        <f t="shared" si="25"/>
        <v>Regular</v>
      </c>
      <c r="R121" s="8">
        <v>4</v>
      </c>
      <c r="S121" s="31" t="s">
        <v>947</v>
      </c>
      <c r="T121" s="8">
        <f t="shared" si="26"/>
        <v>1</v>
      </c>
      <c r="U121" s="31">
        <f t="shared" si="27"/>
        <v>0</v>
      </c>
      <c r="V121" s="31">
        <f>IF(OR(ISNUMBER(FIND("café da manhã",S121)), ISNUMBER(FIND("café da manha",O121)), ISNUMBER(FIND("cafe da manha",S121)), ISNUMBER(FIND("café da amanhã incluído",S121))), 1, 0)</f>
        <v>0</v>
      </c>
      <c r="W121" s="31">
        <f t="shared" si="32"/>
        <v>1</v>
      </c>
      <c r="X121" s="8">
        <f>IF(OR(ISNUMBER(FIND("serviço de quarto",S121)), ISNUMBER(FIND("servico de quarto",O121)), ISNUMBER(FIND("room service",S121))), 1, 0)</f>
        <v>1</v>
      </c>
      <c r="Y121" s="8">
        <f t="shared" si="31"/>
        <v>1</v>
      </c>
      <c r="Z121" s="8">
        <f>IF(OR(ISNUMBER(FIND("academia",S121)), ISNUMBER(FIND("fitness",S121)), ISNUMBER(FIND("ginásio",S121))), 1, 0)</f>
        <v>1</v>
      </c>
      <c r="AA121" s="8">
        <f t="shared" si="29"/>
        <v>1</v>
      </c>
      <c r="AB121" s="8">
        <f t="shared" si="30"/>
        <v>1</v>
      </c>
      <c r="AC121" s="8">
        <f t="shared" si="28"/>
        <v>0</v>
      </c>
      <c r="AD121" s="31" t="s">
        <v>366</v>
      </c>
      <c r="AE121" s="8" t="s">
        <v>454</v>
      </c>
      <c r="AF121" s="8" t="s">
        <v>510</v>
      </c>
      <c r="AG121" s="8" t="s">
        <v>525</v>
      </c>
      <c r="AH121" s="1" t="s">
        <v>527</v>
      </c>
      <c r="AI121" s="13" t="s">
        <v>529</v>
      </c>
    </row>
    <row r="122" spans="1:35" ht="18" thickBot="1" x14ac:dyDescent="0.4">
      <c r="A122" s="38" t="s">
        <v>138</v>
      </c>
      <c r="B122" s="39" t="s">
        <v>644</v>
      </c>
      <c r="C122" s="39" t="s">
        <v>192</v>
      </c>
      <c r="D122" s="43" t="s">
        <v>898</v>
      </c>
      <c r="E122" s="50" t="s">
        <v>899</v>
      </c>
      <c r="F122" s="42">
        <v>1.5</v>
      </c>
      <c r="G122" s="42" t="str">
        <f t="shared" si="21"/>
        <v>1-2km</v>
      </c>
      <c r="H122" s="43" t="s">
        <v>211</v>
      </c>
      <c r="I122" s="43">
        <v>162</v>
      </c>
      <c r="J122" s="44">
        <v>305</v>
      </c>
      <c r="K122" s="44" t="str">
        <f t="shared" si="22"/>
        <v>Médio</v>
      </c>
      <c r="L122" s="43" t="s">
        <v>215</v>
      </c>
      <c r="M122" s="43" t="s">
        <v>218</v>
      </c>
      <c r="N122" s="43" t="s">
        <v>220</v>
      </c>
      <c r="O122" s="43">
        <v>4.0999999999999996</v>
      </c>
      <c r="P122" s="45">
        <f>(Tabela1[Avaliação Média (0-5)] * 20) / Tabela1[Preço Médio da Diária (R$)] * 10</f>
        <v>2.6885245901639343</v>
      </c>
      <c r="Q122" s="42" t="str">
        <f t="shared" si="25"/>
        <v>Regular</v>
      </c>
      <c r="R122" s="43">
        <v>4</v>
      </c>
      <c r="S122" s="46" t="s">
        <v>245</v>
      </c>
      <c r="T122" s="43">
        <f t="shared" si="26"/>
        <v>1</v>
      </c>
      <c r="U122" s="46">
        <f t="shared" si="27"/>
        <v>1</v>
      </c>
      <c r="V122" s="46">
        <f>IF(OR(ISNUMBER(FIND("café da manhã",S122)), ISNUMBER(FIND("café da manha",O122)), ISNUMBER(FIND("cafe da manha",S122)), ISNUMBER(FIND("café da amanhã incluído",S122))), 1, 0)</f>
        <v>0</v>
      </c>
      <c r="W122" s="46">
        <f>IF(OR(ISNUMBER(FIND("estacionamento",S122)),ISNUMBER(FIND("estaciona",S122))), 1, 0)</f>
        <v>0</v>
      </c>
      <c r="X122" s="43">
        <f>IF(OR(ISNUMBER(FIND("serviço de quarto",S122)), ISNUMBER(FIND("servico de quarto",O122)), ISNUMBER(FIND("room service",S122))), 1, 0)</f>
        <v>0</v>
      </c>
      <c r="Y122" s="43">
        <f t="shared" si="31"/>
        <v>1</v>
      </c>
      <c r="Z122" s="43">
        <f>IF(OR(ISNUMBER(FIND("academia",S122)), ISNUMBER(FIND("fitness",S122)), ISNUMBER(FIND("ginásio",S122))), 1, 0)</f>
        <v>0</v>
      </c>
      <c r="AA122" s="43">
        <f>IF(ISNUMBER(FIND("piscina",S122)), 1, 0)</f>
        <v>0</v>
      </c>
      <c r="AB122" s="43">
        <f>IF(OR(ISNUMBER(FIND("acessível",S122)),ISNUMBER(FIND("deficiência",S122)), ISNUMBER(FIND("cadeirante",S122)), ISNUMBER(FIND("PCD",S122))), 1, 0)</f>
        <v>0</v>
      </c>
      <c r="AC122" s="43">
        <f t="shared" si="28"/>
        <v>1</v>
      </c>
      <c r="AD122" s="46" t="s">
        <v>367</v>
      </c>
      <c r="AE122" s="43" t="s">
        <v>452</v>
      </c>
      <c r="AF122" s="43" t="s">
        <v>511</v>
      </c>
      <c r="AG122" s="43" t="s">
        <v>1067</v>
      </c>
      <c r="AH122" s="39" t="s">
        <v>527</v>
      </c>
      <c r="AI122" s="48" t="s">
        <v>529</v>
      </c>
    </row>
    <row r="123" spans="1:35" ht="18" thickBot="1" x14ac:dyDescent="0.4">
      <c r="A123" s="38" t="s">
        <v>139</v>
      </c>
      <c r="B123" s="39" t="s">
        <v>645</v>
      </c>
      <c r="C123" s="39" t="s">
        <v>206</v>
      </c>
      <c r="D123" s="43" t="s">
        <v>900</v>
      </c>
      <c r="E123" s="50" t="s">
        <v>901</v>
      </c>
      <c r="F123" s="42">
        <v>1.2</v>
      </c>
      <c r="G123" s="42" t="str">
        <f t="shared" si="21"/>
        <v>1-2km</v>
      </c>
      <c r="H123" s="43" t="s">
        <v>211</v>
      </c>
      <c r="I123" s="43"/>
      <c r="J123" s="44">
        <v>197</v>
      </c>
      <c r="K123" s="44" t="str">
        <f t="shared" si="22"/>
        <v>Econômico</v>
      </c>
      <c r="L123" s="43" t="s">
        <v>215</v>
      </c>
      <c r="M123" s="43" t="s">
        <v>218</v>
      </c>
      <c r="N123" s="43" t="s">
        <v>220</v>
      </c>
      <c r="O123" s="43">
        <v>4.4000000000000004</v>
      </c>
      <c r="P123" s="45">
        <f>(Tabela1[Avaliação Média (0-5)] * 20) / Tabela1[Preço Médio da Diária (R$)] * 10</f>
        <v>4.467005076142132</v>
      </c>
      <c r="Q123" s="42" t="str">
        <f t="shared" si="25"/>
        <v>Bom</v>
      </c>
      <c r="R123" s="43">
        <v>4</v>
      </c>
      <c r="S123" s="46" t="s">
        <v>944</v>
      </c>
      <c r="T123" s="43">
        <f t="shared" si="26"/>
        <v>1</v>
      </c>
      <c r="U123" s="46">
        <f t="shared" si="27"/>
        <v>1</v>
      </c>
      <c r="V123" s="46">
        <f>IF(OR(ISNUMBER(FIND("café da manhã",S123)), ISNUMBER(FIND("café da manha",O123)), ISNUMBER(FIND("cafe da manha",S123)), ISNUMBER(FIND("café da amanhã incluído",S123))), 1, 0)</f>
        <v>0</v>
      </c>
      <c r="W123" s="46">
        <f t="shared" si="32"/>
        <v>1</v>
      </c>
      <c r="X123" s="43">
        <f>IF(OR(ISNUMBER(FIND("serviço de quarto",S123)), ISNUMBER(FIND("servico de quarto",O123)), ISNUMBER(FIND("room service",S123))), 1, 0)</f>
        <v>1</v>
      </c>
      <c r="Y123" s="43">
        <f t="shared" si="31"/>
        <v>1</v>
      </c>
      <c r="Z123" s="43">
        <f>IF(OR(ISNUMBER(FIND("academia",S123)), ISNUMBER(FIND("fitness",S123)), ISNUMBER(FIND("ginásio",S123))), 1, 0)</f>
        <v>0</v>
      </c>
      <c r="AA123" s="43">
        <f>IF(ISNUMBER(FIND("piscina",S123)), 1, 0)</f>
        <v>0</v>
      </c>
      <c r="AB123" s="43">
        <f>IF(OR(ISNUMBER(FIND("acessível",S123)),ISNUMBER(FIND("deficiência",S123)), ISNUMBER(FIND("cadeirante",S123)), ISNUMBER(FIND("PCD",S123))), 1, 0)</f>
        <v>0</v>
      </c>
      <c r="AC123" s="43">
        <f t="shared" si="28"/>
        <v>1</v>
      </c>
      <c r="AD123" s="46" t="s">
        <v>368</v>
      </c>
      <c r="AE123" s="43" t="s">
        <v>455</v>
      </c>
      <c r="AF123" s="43" t="s">
        <v>512</v>
      </c>
      <c r="AG123" s="43" t="s">
        <v>1067</v>
      </c>
      <c r="AH123" s="39" t="s">
        <v>527</v>
      </c>
      <c r="AI123" s="48" t="s">
        <v>529</v>
      </c>
    </row>
    <row r="124" spans="1:35" ht="18" thickBot="1" x14ac:dyDescent="0.4">
      <c r="A124" s="38" t="s">
        <v>140</v>
      </c>
      <c r="B124" s="39" t="s">
        <v>646</v>
      </c>
      <c r="C124" s="39" t="s">
        <v>207</v>
      </c>
      <c r="D124" s="43" t="s">
        <v>902</v>
      </c>
      <c r="E124" s="50" t="s">
        <v>903</v>
      </c>
      <c r="F124" s="42">
        <v>1.4</v>
      </c>
      <c r="G124" s="42" t="str">
        <f t="shared" si="21"/>
        <v>1-2km</v>
      </c>
      <c r="H124" s="43" t="s">
        <v>211</v>
      </c>
      <c r="I124" s="43">
        <v>62</v>
      </c>
      <c r="J124" s="44">
        <v>253</v>
      </c>
      <c r="K124" s="44" t="str">
        <f t="shared" si="22"/>
        <v>Médio</v>
      </c>
      <c r="L124" s="43" t="s">
        <v>215</v>
      </c>
      <c r="M124" s="43" t="s">
        <v>218</v>
      </c>
      <c r="N124" s="43" t="s">
        <v>220</v>
      </c>
      <c r="O124" s="43">
        <v>4.3</v>
      </c>
      <c r="P124" s="45">
        <f>(Tabela1[Avaliação Média (0-5)] * 20) / Tabela1[Preço Médio da Diária (R$)] * 10</f>
        <v>3.3992094861660078</v>
      </c>
      <c r="Q124" s="42" t="str">
        <f t="shared" si="25"/>
        <v>Regular</v>
      </c>
      <c r="R124" s="43">
        <v>4</v>
      </c>
      <c r="S124" s="46" t="s">
        <v>1062</v>
      </c>
      <c r="T124" s="43">
        <f t="shared" si="26"/>
        <v>1</v>
      </c>
      <c r="U124" s="46">
        <f t="shared" si="27"/>
        <v>0</v>
      </c>
      <c r="V124" s="46">
        <f>IF(OR(ISNUMBER(FIND("café da manhã",S124)), ISNUMBER(FIND("café da manha",O124)), ISNUMBER(FIND("cafe da manha",S124)), ISNUMBER(FIND("café da amanhã incluído",S124))), 1, 0)</f>
        <v>1</v>
      </c>
      <c r="W124" s="46">
        <f t="shared" si="32"/>
        <v>1</v>
      </c>
      <c r="X124" s="43">
        <f>IF(OR(ISNUMBER(FIND("serviço de quarto",S124)), ISNUMBER(FIND("servico de quarto",O124)), ISNUMBER(FIND("room service",S124))), 1, 0)</f>
        <v>1</v>
      </c>
      <c r="Y124" s="43">
        <f t="shared" si="31"/>
        <v>1</v>
      </c>
      <c r="Z124" s="43">
        <f>IF(OR(ISNUMBER(FIND("academia",S124)), ISNUMBER(FIND("fitness",S124)), ISNUMBER(FIND("ginásio",S124))), 1, 0)</f>
        <v>0</v>
      </c>
      <c r="AA124" s="43">
        <f>IF(ISNUMBER(FIND("piscina",S124)), 1, 0)</f>
        <v>0</v>
      </c>
      <c r="AB124" s="43">
        <f>IF(OR(ISNUMBER(FIND("acessível",S124)),ISNUMBER(FIND("deficiência",S124)), ISNUMBER(FIND("cadeirante",S124)), ISNUMBER(FIND("PCD",S124))), 1, 0)</f>
        <v>1</v>
      </c>
      <c r="AC124" s="43">
        <f t="shared" si="28"/>
        <v>1</v>
      </c>
      <c r="AD124" s="46" t="s">
        <v>369</v>
      </c>
      <c r="AE124" s="43" t="s">
        <v>456</v>
      </c>
      <c r="AF124" s="43" t="s">
        <v>513</v>
      </c>
      <c r="AG124" s="43" t="s">
        <v>1067</v>
      </c>
      <c r="AH124" s="39" t="s">
        <v>528</v>
      </c>
      <c r="AI124" s="48" t="s">
        <v>544</v>
      </c>
    </row>
    <row r="125" spans="1:35" ht="15" hidden="1" thickBot="1" x14ac:dyDescent="0.4">
      <c r="A125" s="12" t="s">
        <v>141</v>
      </c>
      <c r="B125" s="1" t="s">
        <v>647</v>
      </c>
      <c r="C125" s="1" t="s">
        <v>187</v>
      </c>
      <c r="D125" s="2" t="s">
        <v>904</v>
      </c>
      <c r="E125" s="4" t="s">
        <v>905</v>
      </c>
      <c r="F125" s="6">
        <v>1.3</v>
      </c>
      <c r="G125" s="6" t="str">
        <f t="shared" si="21"/>
        <v>1-2km</v>
      </c>
      <c r="H125" s="8" t="s">
        <v>211</v>
      </c>
      <c r="I125" s="8"/>
      <c r="J125" s="9">
        <v>386</v>
      </c>
      <c r="K125" s="9" t="str">
        <f t="shared" si="22"/>
        <v>Médio</v>
      </c>
      <c r="L125" s="8" t="s">
        <v>215</v>
      </c>
      <c r="M125" s="8" t="s">
        <v>218</v>
      </c>
      <c r="N125" s="8" t="s">
        <v>220</v>
      </c>
      <c r="O125" s="8">
        <v>4.3</v>
      </c>
      <c r="P125" s="28">
        <f>(Tabela1[Avaliação Média (0-5)] * 20) / Tabela1[Preço Médio da Diária (R$)] * 10</f>
        <v>2.2279792746113989</v>
      </c>
      <c r="Q125" s="28" t="str">
        <f t="shared" si="25"/>
        <v>Regular</v>
      </c>
      <c r="R125" s="8">
        <v>4</v>
      </c>
      <c r="S125" s="31" t="s">
        <v>948</v>
      </c>
      <c r="T125" s="8">
        <f t="shared" si="26"/>
        <v>1</v>
      </c>
      <c r="U125" s="31">
        <f t="shared" si="27"/>
        <v>0</v>
      </c>
      <c r="V125" s="31">
        <f>IF(OR(ISNUMBER(FIND("café da manhã",S125)), ISNUMBER(FIND("café da manha",O125)), ISNUMBER(FIND("cafe da manha",S125)), ISNUMBER(FIND("café da amanhã incluído",S125))), 1, 0)</f>
        <v>1</v>
      </c>
      <c r="W125" s="31">
        <f t="shared" si="32"/>
        <v>1</v>
      </c>
      <c r="X125" s="8">
        <f>IF(OR(ISNUMBER(FIND("serviço de quarto",S125)), ISNUMBER(FIND("servico de quarto",O125)), ISNUMBER(FIND("room service",S125))), 1, 0)</f>
        <v>0</v>
      </c>
      <c r="Y125" s="8">
        <f t="shared" si="31"/>
        <v>1</v>
      </c>
      <c r="Z125" s="8">
        <f>IF(OR(ISNUMBER(FIND("academia",S125)), ISNUMBER(FIND("fitness",S125)), ISNUMBER(FIND("ginásio",S125))), 1, 0)</f>
        <v>1</v>
      </c>
      <c r="AA125" s="8">
        <f t="shared" si="29"/>
        <v>0</v>
      </c>
      <c r="AB125" s="8">
        <f t="shared" si="30"/>
        <v>0</v>
      </c>
      <c r="AC125" s="8">
        <f t="shared" si="28"/>
        <v>1</v>
      </c>
      <c r="AD125" s="31" t="s">
        <v>370</v>
      </c>
      <c r="AE125" s="8" t="s">
        <v>456</v>
      </c>
      <c r="AF125" s="8" t="s">
        <v>514</v>
      </c>
      <c r="AG125" s="8" t="s">
        <v>524</v>
      </c>
      <c r="AH125" s="1" t="s">
        <v>528</v>
      </c>
      <c r="AI125" s="13" t="s">
        <v>545</v>
      </c>
    </row>
    <row r="126" spans="1:35" ht="15" hidden="1" thickBot="1" x14ac:dyDescent="0.4">
      <c r="A126" s="12" t="s">
        <v>142</v>
      </c>
      <c r="B126" s="1" t="s">
        <v>648</v>
      </c>
      <c r="C126" s="1" t="s">
        <v>179</v>
      </c>
      <c r="D126" s="3" t="s">
        <v>906</v>
      </c>
      <c r="E126" s="4" t="s">
        <v>907</v>
      </c>
      <c r="F126" s="6">
        <v>2.1</v>
      </c>
      <c r="G126" s="6" t="str">
        <f t="shared" si="21"/>
        <v>2-3km</v>
      </c>
      <c r="H126" s="8" t="s">
        <v>211</v>
      </c>
      <c r="I126" s="8">
        <v>75</v>
      </c>
      <c r="J126" s="9">
        <v>475</v>
      </c>
      <c r="K126" s="9" t="str">
        <f t="shared" si="22"/>
        <v>Alto</v>
      </c>
      <c r="L126" s="8" t="s">
        <v>215</v>
      </c>
      <c r="M126" s="8" t="s">
        <v>218</v>
      </c>
      <c r="N126" s="8" t="s">
        <v>220</v>
      </c>
      <c r="O126" s="8">
        <v>4.5</v>
      </c>
      <c r="P126" s="28">
        <f>(Tabela1[Avaliação Média (0-5)] * 20) / Tabela1[Preço Médio da Diária (R$)] * 10</f>
        <v>1.8947368421052633</v>
      </c>
      <c r="Q126" s="28" t="str">
        <f t="shared" si="25"/>
        <v>Baixo</v>
      </c>
      <c r="R126" s="8">
        <v>4</v>
      </c>
      <c r="S126" s="31" t="s">
        <v>246</v>
      </c>
      <c r="T126" s="8">
        <f t="shared" si="26"/>
        <v>1</v>
      </c>
      <c r="U126" s="31">
        <f t="shared" si="27"/>
        <v>0</v>
      </c>
      <c r="V126" s="31">
        <f>IF(OR(ISNUMBER(FIND("café da manhã",S126)), ISNUMBER(FIND("café da manha",O126)), ISNUMBER(FIND("cafe da manha",S126)), ISNUMBER(FIND("café da amanhã incluído",S126))), 1, 0)</f>
        <v>0</v>
      </c>
      <c r="W126" s="31">
        <f t="shared" si="32"/>
        <v>1</v>
      </c>
      <c r="X126" s="8">
        <f>IF(OR(ISNUMBER(FIND("serviço de quarto",S126)), ISNUMBER(FIND("servico de quarto",O126)), ISNUMBER(FIND("room service",S126))), 1, 0)</f>
        <v>0</v>
      </c>
      <c r="Y126" s="8">
        <f t="shared" si="31"/>
        <v>1</v>
      </c>
      <c r="Z126" s="8">
        <f>IF(OR(ISNUMBER(FIND("academia",S126)), ISNUMBER(FIND("fitness",S126)), ISNUMBER(FIND("ginásio",S126))), 1, 0)</f>
        <v>1</v>
      </c>
      <c r="AA126" s="8">
        <f t="shared" si="29"/>
        <v>1</v>
      </c>
      <c r="AB126" s="8">
        <f t="shared" si="30"/>
        <v>0</v>
      </c>
      <c r="AC126" s="8">
        <f t="shared" si="28"/>
        <v>0</v>
      </c>
      <c r="AD126" s="31" t="s">
        <v>371</v>
      </c>
      <c r="AE126" s="8" t="s">
        <v>456</v>
      </c>
      <c r="AF126" s="8" t="s">
        <v>459</v>
      </c>
      <c r="AG126" s="8" t="s">
        <v>525</v>
      </c>
      <c r="AH126" s="1" t="s">
        <v>528</v>
      </c>
      <c r="AI126" s="13" t="s">
        <v>546</v>
      </c>
    </row>
    <row r="127" spans="1:35" ht="15" hidden="1" thickBot="1" x14ac:dyDescent="0.4">
      <c r="A127" s="12" t="s">
        <v>143</v>
      </c>
      <c r="B127" s="1" t="s">
        <v>649</v>
      </c>
      <c r="C127" s="1" t="s">
        <v>208</v>
      </c>
      <c r="D127" s="3" t="s">
        <v>908</v>
      </c>
      <c r="E127" s="4" t="s">
        <v>909</v>
      </c>
      <c r="F127" s="6">
        <v>1.9</v>
      </c>
      <c r="G127" s="6" t="str">
        <f t="shared" si="21"/>
        <v>1-2km</v>
      </c>
      <c r="H127" s="8" t="s">
        <v>211</v>
      </c>
      <c r="I127" s="8">
        <v>195</v>
      </c>
      <c r="J127" s="9">
        <v>678</v>
      </c>
      <c r="K127" s="9" t="str">
        <f t="shared" si="22"/>
        <v>Alto</v>
      </c>
      <c r="L127" s="8" t="s">
        <v>215</v>
      </c>
      <c r="M127" s="8" t="s">
        <v>218</v>
      </c>
      <c r="N127" s="8" t="s">
        <v>220</v>
      </c>
      <c r="O127" s="8">
        <v>4.2</v>
      </c>
      <c r="P127" s="28">
        <f>(Tabela1[Avaliação Média (0-5)] * 20) / Tabela1[Preço Médio da Diária (R$)] * 10</f>
        <v>1.2389380530973451</v>
      </c>
      <c r="Q127" s="28" t="str">
        <f t="shared" si="25"/>
        <v>Baixo</v>
      </c>
      <c r="R127" s="8">
        <v>4</v>
      </c>
      <c r="S127" s="31" t="s">
        <v>949</v>
      </c>
      <c r="T127" s="8">
        <f t="shared" si="26"/>
        <v>1</v>
      </c>
      <c r="U127" s="31">
        <f t="shared" si="27"/>
        <v>1</v>
      </c>
      <c r="V127" s="31">
        <f>IF(OR(ISNUMBER(FIND("café da manhã",S127)), ISNUMBER(FIND("café da manha",O127)), ISNUMBER(FIND("cafe da manha",S127)), ISNUMBER(FIND("café da amanhã incluído",S127))), 1, 0)</f>
        <v>0</v>
      </c>
      <c r="W127" s="31">
        <f t="shared" si="32"/>
        <v>1</v>
      </c>
      <c r="X127" s="8">
        <f>IF(OR(ISNUMBER(FIND("serviço de quarto",S127)), ISNUMBER(FIND("servico de quarto",O127)), ISNUMBER(FIND("room service",S127))), 1, 0)</f>
        <v>1</v>
      </c>
      <c r="Y127" s="8">
        <f t="shared" si="31"/>
        <v>1</v>
      </c>
      <c r="Z127" s="8">
        <f>IF(OR(ISNUMBER(FIND("academia",S127)), ISNUMBER(FIND("fitness",S127)), ISNUMBER(FIND("ginásio",S127))), 1, 0)</f>
        <v>1</v>
      </c>
      <c r="AA127" s="8">
        <f t="shared" si="29"/>
        <v>1</v>
      </c>
      <c r="AB127" s="8">
        <f t="shared" si="30"/>
        <v>0</v>
      </c>
      <c r="AC127" s="8">
        <f t="shared" si="28"/>
        <v>0</v>
      </c>
      <c r="AD127" s="31" t="s">
        <v>372</v>
      </c>
      <c r="AE127" s="8" t="s">
        <v>456</v>
      </c>
      <c r="AF127" s="8" t="s">
        <v>372</v>
      </c>
      <c r="AG127" s="8" t="s">
        <v>525</v>
      </c>
      <c r="AH127" s="1" t="s">
        <v>528</v>
      </c>
      <c r="AI127" s="13" t="s">
        <v>547</v>
      </c>
    </row>
    <row r="128" spans="1:35" ht="18" thickBot="1" x14ac:dyDescent="0.4">
      <c r="A128" s="38" t="s">
        <v>144</v>
      </c>
      <c r="B128" s="39" t="s">
        <v>650</v>
      </c>
      <c r="C128" s="39" t="s">
        <v>187</v>
      </c>
      <c r="D128" s="43" t="s">
        <v>910</v>
      </c>
      <c r="E128" s="50" t="s">
        <v>911</v>
      </c>
      <c r="F128" s="42">
        <v>1.7</v>
      </c>
      <c r="G128" s="42" t="str">
        <f t="shared" si="21"/>
        <v>1-2km</v>
      </c>
      <c r="H128" s="43" t="s">
        <v>211</v>
      </c>
      <c r="I128" s="43">
        <v>86</v>
      </c>
      <c r="J128" s="44">
        <v>357</v>
      </c>
      <c r="K128" s="44" t="str">
        <f t="shared" si="22"/>
        <v>Médio</v>
      </c>
      <c r="L128" s="43" t="s">
        <v>215</v>
      </c>
      <c r="M128" s="43" t="s">
        <v>220</v>
      </c>
      <c r="N128" s="43" t="s">
        <v>217</v>
      </c>
      <c r="O128" s="43">
        <v>4.3</v>
      </c>
      <c r="P128" s="45">
        <f>(Tabela1[Avaliação Média (0-5)] * 20) / Tabela1[Preço Médio da Diária (R$)] * 10</f>
        <v>2.4089635854341735</v>
      </c>
      <c r="Q128" s="42" t="str">
        <f t="shared" si="25"/>
        <v>Regular</v>
      </c>
      <c r="R128" s="43">
        <v>4</v>
      </c>
      <c r="S128" s="46" t="s">
        <v>1039</v>
      </c>
      <c r="T128" s="43">
        <f t="shared" si="26"/>
        <v>0</v>
      </c>
      <c r="U128" s="46">
        <f t="shared" si="27"/>
        <v>0</v>
      </c>
      <c r="V128" s="46">
        <f>IF(OR(ISNUMBER(FIND("café da manhã",S128)), ISNUMBER(FIND("café da manha",O128)), ISNUMBER(FIND("cafe da manha",S128)), ISNUMBER(FIND("café da amanhã incluído",S128))), 1, 0)</f>
        <v>1</v>
      </c>
      <c r="W128" s="46">
        <f t="shared" si="32"/>
        <v>1</v>
      </c>
      <c r="X128" s="43">
        <f>IF(OR(ISNUMBER(FIND("serviço de quarto",S128)), ISNUMBER(FIND("servico de quarto",O128)), ISNUMBER(FIND("room service",S128))), 1, 0)</f>
        <v>0</v>
      </c>
      <c r="Y128" s="43">
        <f t="shared" si="31"/>
        <v>1</v>
      </c>
      <c r="Z128" s="43">
        <f>IF(OR(ISNUMBER(FIND("academia",S128)), ISNUMBER(FIND("fitness",S128)), ISNUMBER(FIND("ginásio",S128))), 1, 0)</f>
        <v>0</v>
      </c>
      <c r="AA128" s="43">
        <f>IF(ISNUMBER(FIND("piscina",S128)), 1, 0)</f>
        <v>0</v>
      </c>
      <c r="AB128" s="43">
        <f>IF(OR(ISNUMBER(FIND("acessível",S128)),ISNUMBER(FIND("deficiência",S128)), ISNUMBER(FIND("cadeirante",S128)), ISNUMBER(FIND("PCD",S128))), 1, 0)</f>
        <v>0</v>
      </c>
      <c r="AC128" s="43">
        <f t="shared" si="28"/>
        <v>1</v>
      </c>
      <c r="AD128" s="46" t="s">
        <v>373</v>
      </c>
      <c r="AE128" s="43" t="s">
        <v>456</v>
      </c>
      <c r="AF128" s="43" t="s">
        <v>512</v>
      </c>
      <c r="AG128" s="43" t="s">
        <v>1067</v>
      </c>
      <c r="AH128" s="39" t="s">
        <v>527</v>
      </c>
      <c r="AI128" s="48" t="s">
        <v>529</v>
      </c>
    </row>
    <row r="129" spans="1:35" ht="15" hidden="1" thickBot="1" x14ac:dyDescent="0.4">
      <c r="A129" s="12" t="s">
        <v>145</v>
      </c>
      <c r="B129" s="1" t="s">
        <v>651</v>
      </c>
      <c r="C129" s="1" t="s">
        <v>187</v>
      </c>
      <c r="D129" s="2" t="s">
        <v>912</v>
      </c>
      <c r="E129" s="4" t="s">
        <v>913</v>
      </c>
      <c r="F129" s="6">
        <v>1.9</v>
      </c>
      <c r="G129" s="6" t="str">
        <f t="shared" si="21"/>
        <v>1-2km</v>
      </c>
      <c r="H129" s="8" t="s">
        <v>211</v>
      </c>
      <c r="I129" s="8">
        <v>157</v>
      </c>
      <c r="J129" s="9">
        <v>440</v>
      </c>
      <c r="K129" s="9" t="str">
        <f t="shared" si="22"/>
        <v>Alto</v>
      </c>
      <c r="L129" s="8" t="s">
        <v>215</v>
      </c>
      <c r="M129" s="8" t="s">
        <v>218</v>
      </c>
      <c r="N129" s="8" t="s">
        <v>217</v>
      </c>
      <c r="O129" s="8">
        <v>4.5</v>
      </c>
      <c r="P129" s="28">
        <f>(Tabela1[Avaliação Média (0-5)] * 20) / Tabela1[Preço Médio da Diária (R$)] * 10</f>
        <v>2.0454545454545454</v>
      </c>
      <c r="Q129" s="28" t="str">
        <f t="shared" si="25"/>
        <v>Regular</v>
      </c>
      <c r="R129" s="8">
        <v>4</v>
      </c>
      <c r="S129" s="31" t="s">
        <v>950</v>
      </c>
      <c r="T129" s="8">
        <f t="shared" si="26"/>
        <v>1</v>
      </c>
      <c r="U129" s="31">
        <f t="shared" si="27"/>
        <v>1</v>
      </c>
      <c r="V129" s="31">
        <f>IF(OR(ISNUMBER(FIND("café da manhã",S129)), ISNUMBER(FIND("café da manha",O129)), ISNUMBER(FIND("cafe da manha",S129)), ISNUMBER(FIND("café da amanhã incluído",S129))), 1, 0)</f>
        <v>1</v>
      </c>
      <c r="W129" s="31">
        <f>IF(OR(ISNUMBER(FIND("estacionamento",S129)),ISNUMBER(FIND("estaciona",S129))), 1, 0)</f>
        <v>0</v>
      </c>
      <c r="X129" s="8">
        <f>IF(OR(ISNUMBER(FIND("serviço de quarto",S129)), ISNUMBER(FIND("servico de quarto",O129)), ISNUMBER(FIND("room service",S129))), 1, 0)</f>
        <v>0</v>
      </c>
      <c r="Y129" s="8">
        <f t="shared" si="31"/>
        <v>1</v>
      </c>
      <c r="Z129" s="8">
        <f>IF(OR(ISNUMBER(FIND("academia",S129)), ISNUMBER(FIND("fitness",S129)), ISNUMBER(FIND("ginásio",S129))), 1, 0)</f>
        <v>1</v>
      </c>
      <c r="AA129" s="8">
        <f t="shared" si="29"/>
        <v>0</v>
      </c>
      <c r="AB129" s="8">
        <f t="shared" si="30"/>
        <v>0</v>
      </c>
      <c r="AC129" s="8">
        <f t="shared" si="28"/>
        <v>0</v>
      </c>
      <c r="AD129" s="31" t="s">
        <v>374</v>
      </c>
      <c r="AE129" s="8" t="s">
        <v>456</v>
      </c>
      <c r="AF129" s="8" t="s">
        <v>515</v>
      </c>
      <c r="AG129" s="8" t="s">
        <v>525</v>
      </c>
      <c r="AH129" s="1" t="s">
        <v>528</v>
      </c>
      <c r="AI129" s="13" t="s">
        <v>548</v>
      </c>
    </row>
    <row r="130" spans="1:35" ht="18" thickBot="1" x14ac:dyDescent="0.4">
      <c r="A130" s="38" t="s">
        <v>146</v>
      </c>
      <c r="B130" s="39" t="s">
        <v>652</v>
      </c>
      <c r="C130" s="39" t="s">
        <v>187</v>
      </c>
      <c r="D130" s="43" t="s">
        <v>725</v>
      </c>
      <c r="E130" s="50" t="s">
        <v>914</v>
      </c>
      <c r="F130" s="42">
        <v>2.2999999999999998</v>
      </c>
      <c r="G130" s="42" t="str">
        <f t="shared" si="21"/>
        <v>2-3km</v>
      </c>
      <c r="H130" s="43" t="s">
        <v>211</v>
      </c>
      <c r="I130" s="43">
        <v>141</v>
      </c>
      <c r="J130" s="44">
        <v>148</v>
      </c>
      <c r="K130" s="44" t="str">
        <f t="shared" si="22"/>
        <v>Econômico</v>
      </c>
      <c r="L130" s="43" t="s">
        <v>215</v>
      </c>
      <c r="M130" s="43" t="s">
        <v>218</v>
      </c>
      <c r="N130" s="43" t="s">
        <v>220</v>
      </c>
      <c r="O130" s="43">
        <v>3.7</v>
      </c>
      <c r="P130" s="45">
        <f>(Tabela1[Avaliação Média (0-5)] * 20) / Tabela1[Preço Médio da Diária (R$)] * 10</f>
        <v>5</v>
      </c>
      <c r="Q130" s="42" t="str">
        <f t="shared" ref="Q130:Q161" si="33">IF(P130&lt;=2,"Baixo",IF(P130&lt;=4,"Regular",IF(P130&lt;=6,"Bom","Excelente")))</f>
        <v>Bom</v>
      </c>
      <c r="R130" s="43">
        <v>4</v>
      </c>
      <c r="S130" s="46" t="s">
        <v>951</v>
      </c>
      <c r="T130" s="43">
        <f t="shared" ref="T130:T161" si="34">IF(OR(ISNUMBER(FIND("Wi-fi",S130)), ISNUMBER(FIND("Wi-Fi",S130)), ISNUMBER(FIND("Wifi",S130))), 1, 0)</f>
        <v>1</v>
      </c>
      <c r="U130" s="46">
        <f t="shared" ref="U130:U137" si="35">IF(OR(ISNUMBER(FIND("Ar condicionado",S130)), ISNUMBER(FIND("Ar-condicionado",S130)), ISNUMBER(FIND("ar cond",S130))), 1, 0)</f>
        <v>0</v>
      </c>
      <c r="V130" s="46">
        <f>IF(OR(ISNUMBER(FIND("café da manhã",S130)), ISNUMBER(FIND("café da manha",O130)), ISNUMBER(FIND("cafe da manha",S130)), ISNUMBER(FIND("café da amanhã incluído",S130))), 1, 0)</f>
        <v>0</v>
      </c>
      <c r="W130" s="46">
        <f t="shared" ref="W130:W137" si="36">IF(OR(ISNUMBER(FIND("estacionamento",S130)),ISNUMBER(FIND("estaciona",S130))), 1, 0)</f>
        <v>1</v>
      </c>
      <c r="X130" s="43">
        <f>IF(OR(ISNUMBER(FIND("serviço de quarto",S130)), ISNUMBER(FIND("servico de quarto",O130)), ISNUMBER(FIND("room service",S130))), 1, 0)</f>
        <v>1</v>
      </c>
      <c r="Y130" s="43">
        <f t="shared" ref="Y130:Y137" si="37">IF(OR(ISNUMBER(FIND("restaurante",S130)), ISNUMBER(FIND("bar",S130))), 1, 0)</f>
        <v>1</v>
      </c>
      <c r="Z130" s="43">
        <f>IF(OR(ISNUMBER(FIND("academia",S130)), ISNUMBER(FIND("fitness",S130)), ISNUMBER(FIND("ginásio",S130))), 1, 0)</f>
        <v>0</v>
      </c>
      <c r="AA130" s="43">
        <f>IF(ISNUMBER(FIND("piscina",S130)), 1, 0)</f>
        <v>0</v>
      </c>
      <c r="AB130" s="43">
        <f>IF(OR(ISNUMBER(FIND("acessível",S130)),ISNUMBER(FIND("deficiência",S130)), ISNUMBER(FIND("cadeirante",S130)), ISNUMBER(FIND("PCD",S130))), 1, 0)</f>
        <v>0</v>
      </c>
      <c r="AC130" s="43">
        <f t="shared" ref="AC130:AC137" si="38">IF(OR(ISNUMBER(FIND("aceita pet",AG130)), ISNUMBER(FIND("permite pet",O130)), ISNUMBER(FIND("animais",AG130)), ISNUMBER(FIND("pet friendly",AG130))), 1, 0)</f>
        <v>1</v>
      </c>
      <c r="AD130" s="46" t="s">
        <v>375</v>
      </c>
      <c r="AE130" s="43" t="s">
        <v>456</v>
      </c>
      <c r="AF130" s="43" t="s">
        <v>516</v>
      </c>
      <c r="AG130" s="43" t="s">
        <v>1064</v>
      </c>
      <c r="AH130" s="39" t="s">
        <v>528</v>
      </c>
      <c r="AI130" s="48" t="s">
        <v>938</v>
      </c>
    </row>
    <row r="131" spans="1:35" ht="18" thickBot="1" x14ac:dyDescent="0.4">
      <c r="A131" s="38" t="s">
        <v>147</v>
      </c>
      <c r="B131" s="39" t="s">
        <v>654</v>
      </c>
      <c r="C131" s="39" t="s">
        <v>187</v>
      </c>
      <c r="D131" s="43" t="s">
        <v>915</v>
      </c>
      <c r="E131" s="50" t="s">
        <v>819</v>
      </c>
      <c r="F131" s="42">
        <v>1.3</v>
      </c>
      <c r="G131" s="42" t="str">
        <f t="shared" ref="G131:G137" si="39">IF(F131&lt;1,"Até 1km",IF(F131&lt;2,"1-2km","2-3km"))</f>
        <v>1-2km</v>
      </c>
      <c r="H131" s="43" t="s">
        <v>211</v>
      </c>
      <c r="I131" s="43">
        <v>181</v>
      </c>
      <c r="J131" s="44">
        <v>330</v>
      </c>
      <c r="K131" s="44" t="str">
        <f t="shared" ref="K131:K137" si="40">IF(J131&lt;200,"Econômico", IF(J131&lt;400,"Médio", "Alto"))</f>
        <v>Médio</v>
      </c>
      <c r="L131" s="43" t="s">
        <v>215</v>
      </c>
      <c r="M131" s="43" t="s">
        <v>218</v>
      </c>
      <c r="N131" s="43" t="s">
        <v>220</v>
      </c>
      <c r="O131" s="43">
        <v>4</v>
      </c>
      <c r="P131" s="45">
        <f>(Tabela1[Avaliação Média (0-5)] * 20) / Tabela1[Preço Médio da Diária (R$)] * 10</f>
        <v>2.4242424242424243</v>
      </c>
      <c r="Q131" s="42" t="str">
        <f t="shared" si="33"/>
        <v>Regular</v>
      </c>
      <c r="R131" s="43">
        <v>4</v>
      </c>
      <c r="S131" s="46" t="s">
        <v>954</v>
      </c>
      <c r="T131" s="43">
        <f t="shared" si="34"/>
        <v>1</v>
      </c>
      <c r="U131" s="46">
        <f t="shared" si="35"/>
        <v>0</v>
      </c>
      <c r="V131" s="46">
        <f>IF(OR(ISNUMBER(FIND("café da manhã",S131)), ISNUMBER(FIND("café da manha",O131)), ISNUMBER(FIND("cafe da manha",S131)), ISNUMBER(FIND("café da amanhã incluído",S131))), 1, 0)</f>
        <v>1</v>
      </c>
      <c r="W131" s="46">
        <f t="shared" si="36"/>
        <v>1</v>
      </c>
      <c r="X131" s="43">
        <f>IF(OR(ISNUMBER(FIND("serviço de quarto",S131)), ISNUMBER(FIND("servico de quarto",O131)), ISNUMBER(FIND("room service",S131))), 1, 0)</f>
        <v>0</v>
      </c>
      <c r="Y131" s="43">
        <f t="shared" si="37"/>
        <v>1</v>
      </c>
      <c r="Z131" s="43">
        <f>IF(OR(ISNUMBER(FIND("academia",S131)), ISNUMBER(FIND("fitness",S131)), ISNUMBER(FIND("ginásio",S131))), 1, 0)</f>
        <v>0</v>
      </c>
      <c r="AA131" s="43">
        <f>IF(ISNUMBER(FIND("piscina",S131)), 1, 0)</f>
        <v>0</v>
      </c>
      <c r="AB131" s="43">
        <f>IF(OR(ISNUMBER(FIND("acessível",S131)),ISNUMBER(FIND("deficiência",S131)), ISNUMBER(FIND("cadeirante",S131)), ISNUMBER(FIND("PCD",S131))), 1, 0)</f>
        <v>0</v>
      </c>
      <c r="AC131" s="43">
        <f t="shared" si="38"/>
        <v>1</v>
      </c>
      <c r="AD131" s="46" t="s">
        <v>376</v>
      </c>
      <c r="AE131" s="43" t="s">
        <v>456</v>
      </c>
      <c r="AF131" s="43" t="s">
        <v>517</v>
      </c>
      <c r="AG131" s="43" t="s">
        <v>1064</v>
      </c>
      <c r="AH131" s="39" t="s">
        <v>528</v>
      </c>
      <c r="AI131" s="48" t="s">
        <v>549</v>
      </c>
    </row>
    <row r="132" spans="1:35" ht="18" thickBot="1" x14ac:dyDescent="0.4">
      <c r="A132" s="38" t="s">
        <v>148</v>
      </c>
      <c r="B132" s="39" t="s">
        <v>655</v>
      </c>
      <c r="C132" s="39" t="s">
        <v>189</v>
      </c>
      <c r="D132" s="43" t="s">
        <v>916</v>
      </c>
      <c r="E132" s="50" t="s">
        <v>917</v>
      </c>
      <c r="F132" s="42">
        <v>2.1</v>
      </c>
      <c r="G132" s="42" t="str">
        <f t="shared" si="39"/>
        <v>2-3km</v>
      </c>
      <c r="H132" s="43" t="s">
        <v>211</v>
      </c>
      <c r="I132" s="43">
        <v>415</v>
      </c>
      <c r="J132" s="44">
        <v>290</v>
      </c>
      <c r="K132" s="44" t="str">
        <f t="shared" si="40"/>
        <v>Médio</v>
      </c>
      <c r="L132" s="43" t="s">
        <v>215</v>
      </c>
      <c r="M132" s="43" t="s">
        <v>218</v>
      </c>
      <c r="N132" s="43" t="s">
        <v>220</v>
      </c>
      <c r="O132" s="43">
        <v>4.5</v>
      </c>
      <c r="P132" s="45">
        <f>(Tabela1[Avaliação Média (0-5)] * 20) / Tabela1[Preço Médio da Diária (R$)] * 10</f>
        <v>3.103448275862069</v>
      </c>
      <c r="Q132" s="42" t="str">
        <f t="shared" si="33"/>
        <v>Regular</v>
      </c>
      <c r="R132" s="43">
        <v>4</v>
      </c>
      <c r="S132" s="46" t="s">
        <v>1026</v>
      </c>
      <c r="T132" s="43">
        <f t="shared" si="34"/>
        <v>1</v>
      </c>
      <c r="U132" s="46">
        <f t="shared" si="35"/>
        <v>0</v>
      </c>
      <c r="V132" s="46">
        <f>IF(OR(ISNUMBER(FIND("café da manhã",S132)), ISNUMBER(FIND("café da manha",O132)), ISNUMBER(FIND("cafe da manha",S132)), ISNUMBER(FIND("café da amanhã incluído",S132))), 1, 0)</f>
        <v>1</v>
      </c>
      <c r="W132" s="46">
        <f t="shared" si="36"/>
        <v>1</v>
      </c>
      <c r="X132" s="43">
        <f>IF(OR(ISNUMBER(FIND("serviço de quarto",S132)), ISNUMBER(FIND("servico de quarto",O132)), ISNUMBER(FIND("room service",S132))), 1, 0)</f>
        <v>0</v>
      </c>
      <c r="Y132" s="43">
        <f>IF(OR(ISNUMBER(FIND("restaurante",S132)), ISNUMBER(FIND("bar",S132))), 1, 0)</f>
        <v>1</v>
      </c>
      <c r="Z132" s="43">
        <f>IF(OR(ISNUMBER(FIND("academia",S132)), ISNUMBER(FIND("fitness",S132)), ISNUMBER(FIND("ginásio",S132))), 1, 0)</f>
        <v>0</v>
      </c>
      <c r="AA132" s="43">
        <f>IF(ISNUMBER(FIND("piscina",S132)), 1, 0)</f>
        <v>0</v>
      </c>
      <c r="AB132" s="43">
        <f>IF(OR(ISNUMBER(FIND("acessível",S132)),ISNUMBER(FIND("deficiência",S132)), ISNUMBER(FIND("cadeirante",S132)), ISNUMBER(FIND("PCD",S132))), 1, 0)</f>
        <v>0</v>
      </c>
      <c r="AC132" s="43">
        <f t="shared" si="38"/>
        <v>1</v>
      </c>
      <c r="AD132" s="46" t="s">
        <v>377</v>
      </c>
      <c r="AE132" s="43" t="s">
        <v>456</v>
      </c>
      <c r="AF132" s="43" t="s">
        <v>518</v>
      </c>
      <c r="AG132" s="43" t="s">
        <v>1067</v>
      </c>
      <c r="AH132" s="39" t="s">
        <v>528</v>
      </c>
      <c r="AI132" s="48" t="s">
        <v>550</v>
      </c>
    </row>
    <row r="133" spans="1:35" ht="18" thickBot="1" x14ac:dyDescent="0.4">
      <c r="A133" s="38" t="s">
        <v>149</v>
      </c>
      <c r="B133" s="39" t="s">
        <v>656</v>
      </c>
      <c r="C133" s="39" t="s">
        <v>209</v>
      </c>
      <c r="D133" s="43" t="s">
        <v>918</v>
      </c>
      <c r="E133" s="50" t="s">
        <v>919</v>
      </c>
      <c r="F133" s="42">
        <v>2.5</v>
      </c>
      <c r="G133" s="42" t="str">
        <f t="shared" si="39"/>
        <v>2-3km</v>
      </c>
      <c r="H133" s="43" t="s">
        <v>211</v>
      </c>
      <c r="I133" s="43">
        <v>147</v>
      </c>
      <c r="J133" s="44">
        <v>729</v>
      </c>
      <c r="K133" s="44" t="str">
        <f t="shared" si="40"/>
        <v>Alto</v>
      </c>
      <c r="L133" s="43" t="s">
        <v>215</v>
      </c>
      <c r="M133" s="43" t="s">
        <v>218</v>
      </c>
      <c r="N133" s="43" t="s">
        <v>220</v>
      </c>
      <c r="O133" s="43">
        <v>4.7</v>
      </c>
      <c r="P133" s="45">
        <f>(Tabela1[Avaliação Média (0-5)] * 20) / Tabela1[Preço Médio da Diária (R$)] * 10</f>
        <v>1.2894375857338818</v>
      </c>
      <c r="Q133" s="42" t="str">
        <f t="shared" si="33"/>
        <v>Baixo</v>
      </c>
      <c r="R133" s="43">
        <v>4</v>
      </c>
      <c r="S133" s="46" t="s">
        <v>247</v>
      </c>
      <c r="T133" s="43">
        <f t="shared" si="34"/>
        <v>0</v>
      </c>
      <c r="U133" s="46">
        <f t="shared" si="35"/>
        <v>0</v>
      </c>
      <c r="V133" s="46">
        <f>IF(OR(ISNUMBER(FIND("café da manhã",S133)), ISNUMBER(FIND("café da manha",O133)), ISNUMBER(FIND("cafe da manha",S133)), ISNUMBER(FIND("café da amanhã incluído",S133))), 1, 0)</f>
        <v>0</v>
      </c>
      <c r="W133" s="46">
        <f>IF(OR(ISNUMBER(FIND("estacionamento",S133)),ISNUMBER(FIND("estaciona",S133))), 1, 0)</f>
        <v>0</v>
      </c>
      <c r="X133" s="43">
        <f>IF(OR(ISNUMBER(FIND("serviço de quarto",S133)), ISNUMBER(FIND("servico de quarto",O133)), ISNUMBER(FIND("room service",S133))), 1, 0)</f>
        <v>0</v>
      </c>
      <c r="Y133" s="43">
        <f t="shared" si="37"/>
        <v>1</v>
      </c>
      <c r="Z133" s="43">
        <f>IF(OR(ISNUMBER(FIND("academia",S133)), ISNUMBER(FIND("fitness",S133)), ISNUMBER(FIND("ginásio",S133))), 1, 0)</f>
        <v>0</v>
      </c>
      <c r="AA133" s="43">
        <f t="shared" ref="AA133:AA137" si="41">IF(ISNUMBER(FIND("piscina",S133)), 1, 0)</f>
        <v>1</v>
      </c>
      <c r="AB133" s="43">
        <f>IF(OR(ISNUMBER(FIND("acessível",S133)),ISNUMBER(FIND("deficiência",S133)), ISNUMBER(FIND("cadeirante",S133)), ISNUMBER(FIND("PCD",S133))), 1, 0)</f>
        <v>0</v>
      </c>
      <c r="AC133" s="43">
        <f t="shared" si="38"/>
        <v>1</v>
      </c>
      <c r="AD133" s="46" t="s">
        <v>378</v>
      </c>
      <c r="AE133" s="43" t="s">
        <v>456</v>
      </c>
      <c r="AF133" s="43" t="s">
        <v>519</v>
      </c>
      <c r="AG133" s="43" t="s">
        <v>1064</v>
      </c>
      <c r="AH133" s="39" t="s">
        <v>527</v>
      </c>
      <c r="AI133" s="48" t="s">
        <v>529</v>
      </c>
    </row>
    <row r="134" spans="1:35" ht="18" thickBot="1" x14ac:dyDescent="0.4">
      <c r="A134" s="38" t="s">
        <v>150</v>
      </c>
      <c r="B134" s="39" t="s">
        <v>657</v>
      </c>
      <c r="C134" s="39" t="s">
        <v>189</v>
      </c>
      <c r="D134" s="43" t="s">
        <v>920</v>
      </c>
      <c r="E134" s="50" t="s">
        <v>921</v>
      </c>
      <c r="F134" s="42">
        <v>2.8</v>
      </c>
      <c r="G134" s="42" t="str">
        <f t="shared" si="39"/>
        <v>2-3km</v>
      </c>
      <c r="H134" s="43" t="s">
        <v>211</v>
      </c>
      <c r="I134" s="43">
        <v>80</v>
      </c>
      <c r="J134" s="44">
        <v>354</v>
      </c>
      <c r="K134" s="44" t="str">
        <f t="shared" si="40"/>
        <v>Médio</v>
      </c>
      <c r="L134" s="43" t="s">
        <v>215</v>
      </c>
      <c r="M134" s="43" t="s">
        <v>218</v>
      </c>
      <c r="N134" s="43" t="s">
        <v>220</v>
      </c>
      <c r="O134" s="43">
        <v>3.6</v>
      </c>
      <c r="P134" s="45">
        <f>(Tabela1[Avaliação Média (0-5)] * 20) / Tabela1[Preço Médio da Diária (R$)] * 10</f>
        <v>2.0338983050847457</v>
      </c>
      <c r="Q134" s="42" t="str">
        <f t="shared" si="33"/>
        <v>Regular</v>
      </c>
      <c r="R134" s="43">
        <v>4</v>
      </c>
      <c r="S134" s="46" t="s">
        <v>1063</v>
      </c>
      <c r="T134" s="43">
        <f t="shared" si="34"/>
        <v>1</v>
      </c>
      <c r="U134" s="46">
        <f t="shared" si="35"/>
        <v>0</v>
      </c>
      <c r="V134" s="46">
        <f>IF(OR(ISNUMBER(FIND("café da manhã",S134)), ISNUMBER(FIND("café da manha",O134)), ISNUMBER(FIND("cafe da manha",S134)), ISNUMBER(FIND("café da amanhã incluído",S134))), 1, 0)</f>
        <v>0</v>
      </c>
      <c r="W134" s="46">
        <f t="shared" si="36"/>
        <v>1</v>
      </c>
      <c r="X134" s="43">
        <f>IF(OR(ISNUMBER(FIND("serviço de quarto",S134)), ISNUMBER(FIND("servico de quarto",O134)), ISNUMBER(FIND("room service",S134))), 1, 0)</f>
        <v>0</v>
      </c>
      <c r="Y134" s="43">
        <f t="shared" si="37"/>
        <v>1</v>
      </c>
      <c r="Z134" s="43">
        <f>IF(OR(ISNUMBER(FIND("academia",S134)), ISNUMBER(FIND("fitness",S134)), ISNUMBER(FIND("ginásio",S134))), 1, 0)</f>
        <v>0</v>
      </c>
      <c r="AA134" s="43">
        <f>IF(ISNUMBER(FIND("piscina",S134)), 1, 0)</f>
        <v>0</v>
      </c>
      <c r="AB134" s="43">
        <f>IF(OR(ISNUMBER(FIND("acessível",S134)),ISNUMBER(FIND("deficiência",S134)), ISNUMBER(FIND("cadeirante",S134)), ISNUMBER(FIND("PCD",S134))), 1, 0)</f>
        <v>1</v>
      </c>
      <c r="AC134" s="43">
        <f t="shared" si="38"/>
        <v>1</v>
      </c>
      <c r="AD134" s="46" t="s">
        <v>379</v>
      </c>
      <c r="AE134" s="43" t="s">
        <v>456</v>
      </c>
      <c r="AF134" s="43" t="s">
        <v>520</v>
      </c>
      <c r="AG134" s="43" t="s">
        <v>1064</v>
      </c>
      <c r="AH134" s="39" t="s">
        <v>527</v>
      </c>
      <c r="AI134" s="48" t="s">
        <v>529</v>
      </c>
    </row>
    <row r="135" spans="1:35" ht="29.5" hidden="1" thickBot="1" x14ac:dyDescent="0.4">
      <c r="A135" s="12" t="s">
        <v>151</v>
      </c>
      <c r="B135" s="1" t="s">
        <v>658</v>
      </c>
      <c r="C135" s="1" t="s">
        <v>210</v>
      </c>
      <c r="D135" s="3" t="s">
        <v>922</v>
      </c>
      <c r="E135" s="4" t="s">
        <v>923</v>
      </c>
      <c r="F135" s="6">
        <v>3</v>
      </c>
      <c r="G135" s="6" t="str">
        <f t="shared" si="39"/>
        <v>2-3km</v>
      </c>
      <c r="H135" s="8" t="s">
        <v>211</v>
      </c>
      <c r="I135" s="8">
        <v>87</v>
      </c>
      <c r="J135" s="9">
        <v>599</v>
      </c>
      <c r="K135" s="9" t="str">
        <f t="shared" si="40"/>
        <v>Alto</v>
      </c>
      <c r="L135" s="8" t="s">
        <v>215</v>
      </c>
      <c r="M135" s="8" t="s">
        <v>219</v>
      </c>
      <c r="N135" s="8" t="s">
        <v>220</v>
      </c>
      <c r="O135" s="8">
        <v>4</v>
      </c>
      <c r="P135" s="28">
        <f>(Tabela1[Avaliação Média (0-5)] * 20) / Tabela1[Preço Médio da Diária (R$)] * 10</f>
        <v>1.335559265442404</v>
      </c>
      <c r="Q135" s="28" t="str">
        <f t="shared" si="33"/>
        <v>Baixo</v>
      </c>
      <c r="R135" s="8">
        <v>4</v>
      </c>
      <c r="S135" s="35" t="s">
        <v>965</v>
      </c>
      <c r="T135" s="8">
        <f t="shared" si="34"/>
        <v>1</v>
      </c>
      <c r="U135" s="31">
        <f t="shared" si="35"/>
        <v>1</v>
      </c>
      <c r="V135" s="31">
        <f>IF(OR(ISNUMBER(FIND("café da manhã",S135)), ISNUMBER(FIND("café da manha",O135)), ISNUMBER(FIND("cafe da manha",S135)), ISNUMBER(FIND("café da amanhã incluído",S135))), 1, 0)</f>
        <v>0</v>
      </c>
      <c r="W135" s="31">
        <f t="shared" si="36"/>
        <v>1</v>
      </c>
      <c r="X135" s="8">
        <f>IF(OR(ISNUMBER(FIND("serviço de quarto",S135)), ISNUMBER(FIND("servico de quarto",O135)), ISNUMBER(FIND("room service",S135))), 1, 0)</f>
        <v>0</v>
      </c>
      <c r="Y135" s="8">
        <f>IF(OR(ISNUMBER(FIND("restaurante",S135)), ISNUMBER(FIND("bar",S135))), 1, 0)</f>
        <v>0</v>
      </c>
      <c r="Z135" s="8">
        <f>IF(OR(ISNUMBER(FIND("academia",S135)), ISNUMBER(FIND("fitness",S135)), ISNUMBER(FIND("ginásio",S135))), 1, 0)</f>
        <v>1</v>
      </c>
      <c r="AA135" s="8">
        <f t="shared" si="41"/>
        <v>1</v>
      </c>
      <c r="AB135" s="8">
        <f t="shared" ref="AB135:AB137" si="42">IF(OR(ISNUMBER(FIND("acessível",S135)),ISNUMBER(FIND("deficiência",S135)), ISNUMBER(FIND("cadeirante",S135)), ISNUMBER(FIND("PCD",S135))), 1, 0)</f>
        <v>0</v>
      </c>
      <c r="AC135" s="8">
        <f t="shared" si="38"/>
        <v>1</v>
      </c>
      <c r="AD135" s="31" t="s">
        <v>380</v>
      </c>
      <c r="AE135" s="8" t="s">
        <v>456</v>
      </c>
      <c r="AF135" s="8" t="s">
        <v>521</v>
      </c>
      <c r="AG135" s="8" t="s">
        <v>524</v>
      </c>
      <c r="AH135" s="1" t="s">
        <v>528</v>
      </c>
      <c r="AI135" s="13" t="s">
        <v>533</v>
      </c>
    </row>
    <row r="136" spans="1:35" ht="18" thickBot="1" x14ac:dyDescent="0.4">
      <c r="A136" s="38" t="s">
        <v>152</v>
      </c>
      <c r="B136" s="39" t="s">
        <v>659</v>
      </c>
      <c r="C136" s="39" t="s">
        <v>195</v>
      </c>
      <c r="D136" s="43" t="s">
        <v>924</v>
      </c>
      <c r="E136" s="50" t="s">
        <v>925</v>
      </c>
      <c r="F136" s="42">
        <v>2.2999999999999998</v>
      </c>
      <c r="G136" s="42" t="str">
        <f t="shared" si="39"/>
        <v>2-3km</v>
      </c>
      <c r="H136" s="43" t="s">
        <v>211</v>
      </c>
      <c r="I136" s="43">
        <v>30</v>
      </c>
      <c r="J136" s="44">
        <v>195</v>
      </c>
      <c r="K136" s="44" t="str">
        <f t="shared" si="40"/>
        <v>Econômico</v>
      </c>
      <c r="L136" s="43" t="s">
        <v>215</v>
      </c>
      <c r="M136" s="43" t="s">
        <v>217</v>
      </c>
      <c r="N136" s="43" t="s">
        <v>220</v>
      </c>
      <c r="O136" s="43">
        <v>4.4000000000000004</v>
      </c>
      <c r="P136" s="45">
        <f>(Tabela1[Avaliação Média (0-5)] * 20) / Tabela1[Preço Médio da Diária (R$)] * 10</f>
        <v>4.5128205128205128</v>
      </c>
      <c r="Q136" s="42" t="str">
        <f t="shared" si="33"/>
        <v>Bom</v>
      </c>
      <c r="R136" s="43">
        <v>4</v>
      </c>
      <c r="S136" s="46" t="s">
        <v>966</v>
      </c>
      <c r="T136" s="43">
        <f t="shared" si="34"/>
        <v>1</v>
      </c>
      <c r="U136" s="46">
        <f t="shared" si="35"/>
        <v>1</v>
      </c>
      <c r="V136" s="46">
        <f>IF(OR(ISNUMBER(FIND("café da manhã",S136)), ISNUMBER(FIND("café da manha",O136)), ISNUMBER(FIND("cafe da manha",S136)), ISNUMBER(FIND("café da amanhã incluído",S136))), 1, 0)</f>
        <v>1</v>
      </c>
      <c r="W136" s="46">
        <f t="shared" si="36"/>
        <v>1</v>
      </c>
      <c r="X136" s="43">
        <f>IF(OR(ISNUMBER(FIND("serviço de quarto",S136)), ISNUMBER(FIND("servico de quarto",O136)), ISNUMBER(FIND("room service",S136))), 1, 0)</f>
        <v>0</v>
      </c>
      <c r="Y136" s="43">
        <f t="shared" si="37"/>
        <v>1</v>
      </c>
      <c r="Z136" s="43">
        <f>IF(OR(ISNUMBER(FIND("academia",S136)), ISNUMBER(FIND("fitness",S136)), ISNUMBER(FIND("ginásio",S136))), 1, 0)</f>
        <v>0</v>
      </c>
      <c r="AA136" s="43">
        <f>IF(ISNUMBER(FIND("piscina",S136)), 1, 0)</f>
        <v>0</v>
      </c>
      <c r="AB136" s="43">
        <f>IF(OR(ISNUMBER(FIND("acessível",S136)),ISNUMBER(FIND("deficiência",S136)), ISNUMBER(FIND("cadeirante",S136)), ISNUMBER(FIND("PCD",S136))), 1, 0)</f>
        <v>0</v>
      </c>
      <c r="AC136" s="43">
        <f t="shared" si="38"/>
        <v>1</v>
      </c>
      <c r="AD136" s="46" t="s">
        <v>381</v>
      </c>
      <c r="AE136" s="43" t="s">
        <v>456</v>
      </c>
      <c r="AF136" s="43" t="s">
        <v>522</v>
      </c>
      <c r="AG136" s="43" t="s">
        <v>1064</v>
      </c>
      <c r="AH136" s="39" t="s">
        <v>527</v>
      </c>
      <c r="AI136" s="48" t="s">
        <v>529</v>
      </c>
    </row>
    <row r="137" spans="1:35" ht="15" hidden="1" thickBot="1" x14ac:dyDescent="0.4">
      <c r="A137" s="19" t="s">
        <v>153</v>
      </c>
      <c r="B137" s="20" t="s">
        <v>660</v>
      </c>
      <c r="C137" s="20" t="s">
        <v>179</v>
      </c>
      <c r="D137" s="21" t="s">
        <v>765</v>
      </c>
      <c r="E137" s="22" t="s">
        <v>926</v>
      </c>
      <c r="F137" s="23">
        <v>2.2999999999999998</v>
      </c>
      <c r="G137" s="23" t="str">
        <f t="shared" si="39"/>
        <v>2-3km</v>
      </c>
      <c r="H137" s="24" t="s">
        <v>211</v>
      </c>
      <c r="I137" s="24">
        <v>201</v>
      </c>
      <c r="J137" s="25">
        <v>404</v>
      </c>
      <c r="K137" s="25" t="str">
        <f t="shared" si="40"/>
        <v>Alto</v>
      </c>
      <c r="L137" s="24" t="s">
        <v>215</v>
      </c>
      <c r="M137" s="24" t="s">
        <v>218</v>
      </c>
      <c r="N137" s="24" t="s">
        <v>551</v>
      </c>
      <c r="O137" s="24">
        <v>4.5</v>
      </c>
      <c r="P137" s="29">
        <f>(Tabela1[Avaliação Média (0-5)] * 20) / Tabela1[Preço Médio da Diária (R$)] * 10</f>
        <v>2.2277227722772279</v>
      </c>
      <c r="Q137" s="29" t="str">
        <f t="shared" si="33"/>
        <v>Regular</v>
      </c>
      <c r="R137" s="24">
        <v>4</v>
      </c>
      <c r="S137" s="32" t="s">
        <v>952</v>
      </c>
      <c r="T137" s="24">
        <f t="shared" si="34"/>
        <v>1</v>
      </c>
      <c r="U137" s="32">
        <f t="shared" si="35"/>
        <v>0</v>
      </c>
      <c r="V137" s="32">
        <f>IF(OR(ISNUMBER(FIND("café da manhã",S137)), ISNUMBER(FIND("café da manha",O137)), ISNUMBER(FIND("cafe da manha",S137)), ISNUMBER(FIND("café da amanhã incluído",S137))), 1, 0)</f>
        <v>0</v>
      </c>
      <c r="W137" s="32">
        <f t="shared" si="36"/>
        <v>1</v>
      </c>
      <c r="X137" s="8">
        <f>IF(OR(ISNUMBER(FIND("serviço de quarto",S137)), ISNUMBER(FIND("servico de quarto",O137)), ISNUMBER(FIND("room service",S137))), 1, 0)</f>
        <v>1</v>
      </c>
      <c r="Y137" s="24">
        <f t="shared" si="37"/>
        <v>1</v>
      </c>
      <c r="Z137" s="24">
        <f>IF(OR(ISNUMBER(FIND("academia",S137)), ISNUMBER(FIND("fitness",S137)), ISNUMBER(FIND("ginásio",S137))), 1, 0)</f>
        <v>1</v>
      </c>
      <c r="AA137" s="24">
        <f t="shared" si="41"/>
        <v>0</v>
      </c>
      <c r="AB137" s="24">
        <f t="shared" si="42"/>
        <v>1</v>
      </c>
      <c r="AC137" s="24">
        <f t="shared" si="38"/>
        <v>1</v>
      </c>
      <c r="AD137" s="32" t="s">
        <v>382</v>
      </c>
      <c r="AE137" s="24" t="s">
        <v>457</v>
      </c>
      <c r="AF137" s="24" t="s">
        <v>523</v>
      </c>
      <c r="AG137" s="24" t="s">
        <v>524</v>
      </c>
      <c r="AH137" s="20" t="s">
        <v>528</v>
      </c>
      <c r="AI137" s="26" t="s">
        <v>932</v>
      </c>
    </row>
  </sheetData>
  <pageMargins left="0.70866141732283472" right="0.70866141732283472" top="0.74803149606299213" bottom="0.74803149606299213" header="0.31496062992125984" footer="0.31496062992125984"/>
  <pageSetup paperSize="9" scale="13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Hoteis_FATECSEBRAE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</dc:creator>
  <cp:lastModifiedBy>eu</cp:lastModifiedBy>
  <dcterms:created xsi:type="dcterms:W3CDTF">2025-10-18T00:01:30Z</dcterms:created>
  <dcterms:modified xsi:type="dcterms:W3CDTF">2025-10-19T00:14:16Z</dcterms:modified>
</cp:coreProperties>
</file>